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 акций" sheetId="1" r:id="rId5"/>
    <sheet state="visible" name="Кешбэк" sheetId="2" r:id="rId6"/>
    <sheet state="visible" name="Результаты акций с подарками26" sheetId="3" r:id="rId7"/>
    <sheet state="visible" name="Результаты акций с промокодами2" sheetId="4" r:id="rId8"/>
  </sheets>
  <definedNames>
    <definedName hidden="1" localSheetId="3" name="_xlnm._FilterDatabase">'Результаты акций с промокодами2'!$A$1:$I$11</definedName>
  </definedNames>
  <calcPr/>
</workbook>
</file>

<file path=xl/sharedStrings.xml><?xml version="1.0" encoding="utf-8"?>
<sst xmlns="http://schemas.openxmlformats.org/spreadsheetml/2006/main" count="260" uniqueCount="226">
  <si>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</si>
  <si>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</si>
  <si>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</si>
  <si>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</si>
  <si>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</si>
  <si>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</si>
  <si>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</si>
  <si>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</si>
  <si>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</si>
  <si>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</si>
  <si>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</si>
  <si>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</si>
  <si>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3 подарка</t>
  </si>
  <si>
    <t xml:space="preserve">Подарки с ОСГ:
А075 - по промокоду EMOLLENT для заказов от 1000 руб.
А111 - во все заказы от 1000 руб.
9009 - во все заказы от 500 руб.
2 - 28 февраля
</t>
  </si>
  <si>
    <t>Подарок за закупку в любых разделах:
от 2500 руб. - арт. А089/50, Крем-сыворотка для век с экстрактом икры Lifting Eye Caviar Serum, 50 мл
от 4500 руб. - арт. А068, Крем для лица для сияния кожи с витамином С Vitamin-C Radiance Cream, 50 мл
от 6000 руб. - арт. А028, Энзимная пудра для умывания с РНА-кислотами Renew Enzyme Powder, 150 мл
12 - 31 января</t>
  </si>
  <si>
    <t>Подарок за закупку в любых разделах:
от 3 000₽ до 4 999₽ - арт. 9103, Пенка для умывания с муцином улитки и зелёным чаем Snail Foam Cleanser, 160 мл
от 5 000₽ - арт. 9005, Крем лифтинговый с аминокислотами и полисахаридами Anti-Wrinkle Lifting Cream, 100 мл 
1 - 28 февраля</t>
  </si>
  <si>
    <t>Подарок от суммы</t>
  </si>
  <si>
    <t>Маска арт. А138 за заказ 2-х продуктов из серии Galactomyces
15 декабря - 31 января</t>
  </si>
  <si>
    <t>Подарок за заказ от 2 000₽ в подборке для мужчин - арт. А145, Очищающая пенка для умывания с маслом чайного дерева и чёрным углём Black Cleans
15 - 23 февраля</t>
  </si>
  <si>
    <t>Подарок за любой заказ</t>
  </si>
  <si>
    <t>9009 и А111 за каждый заказ
18 декабря - 31 января</t>
  </si>
  <si>
    <t>Подарок за первый заказ  от 1 500 ₽</t>
  </si>
  <si>
    <t>Арт. 4048
12 - 31 января</t>
  </si>
  <si>
    <t>арт. 4043, Крем для лица интенсивно увлажняющий с мочевиной Intensive Moisture Cream, 100 мл
1 - 28 февраля</t>
  </si>
  <si>
    <t>1 - 31 марта</t>
  </si>
  <si>
    <t>1 - 30 апреля</t>
  </si>
  <si>
    <t>1 - 31 мая</t>
  </si>
  <si>
    <t>1 - 30 июня</t>
  </si>
  <si>
    <t>1 - 31 июля</t>
  </si>
  <si>
    <t>1 - 31 августа</t>
  </si>
  <si>
    <t>1 - 30 сентября</t>
  </si>
  <si>
    <t>1 - 31 октября</t>
  </si>
  <si>
    <t>1 - 30 ноября</t>
  </si>
  <si>
    <t>1 - 31 декабря</t>
  </si>
  <si>
    <t>Промокоды</t>
  </si>
  <si>
    <t>Арт. А075 в подарок по промокоду
EMOLLIENT    
12 - 31 января</t>
  </si>
  <si>
    <t xml:space="preserve">Промокод LOVE, 15% на все товары
1 - 11 февраля
</t>
  </si>
  <si>
    <t>30 % кешбэк</t>
  </si>
  <si>
    <t>https://aravia.ru/catalog/ukhod_za_telom/skin_requirements-is-pokhudenie/
Вернуть форму
30 декабря - 31 января</t>
  </si>
  <si>
    <t>Повышенный кешбэк на наборы
2 февраля - 2 марта</t>
  </si>
  <si>
    <t>Двойной кешбэк</t>
  </si>
  <si>
    <t xml:space="preserve">
13-16.01.26</t>
  </si>
  <si>
    <t>17 - 20 февраля</t>
  </si>
  <si>
    <t>SALE</t>
  </si>
  <si>
    <t>Beauty Sale
3 - 16 марта</t>
  </si>
  <si>
    <t>Winter Sale
10 - 28 декабря</t>
  </si>
  <si>
    <t>MUSTHAVE</t>
  </si>
  <si>
    <t>20 февраля - замена Must_have</t>
  </si>
  <si>
    <t>20 мая - замена Must_have</t>
  </si>
  <si>
    <t>20 августа - замена Must_have</t>
  </si>
  <si>
    <t>20 ноября - замена Must_have</t>
  </si>
  <si>
    <t>HIT</t>
  </si>
  <si>
    <t>Эксперт рекомендует</t>
  </si>
  <si>
    <t>Спец проекты</t>
  </si>
  <si>
    <t>1. Геймификация ко дню всех влюбленных
13 - 16 февраля
2. Билеты на каток в Москве</t>
  </si>
  <si>
    <t xml:space="preserve">
Лендинг: наборы 40%, подборка подарков по 600₽, подарочные сертификаты с функцией «намекнуть на подарок»</t>
  </si>
  <si>
    <t>Геймификация 8-10 апреля</t>
  </si>
  <si>
    <t>Промо с музеем</t>
  </si>
  <si>
    <t>Летнаяя геймификация
24 - 26 июня</t>
  </si>
  <si>
    <t>Повышение скидки для мастеров до 46%</t>
  </si>
  <si>
    <t>1. Промо с объединенными кондитирами</t>
  </si>
  <si>
    <t>Геймификация Helloween 
28 - 31 октября</t>
  </si>
  <si>
    <t>Геймификация
5 - 9 декабря</t>
  </si>
  <si>
    <t xml:space="preserve"> </t>
  </si>
  <si>
    <t>Двойно кешбэк</t>
  </si>
  <si>
    <t>Даты проведения</t>
  </si>
  <si>
    <t>13-16.01.26</t>
  </si>
  <si>
    <t>17-20.02.26</t>
  </si>
  <si>
    <t>13-16.03.26</t>
  </si>
  <si>
    <t>14-17.04.25</t>
  </si>
  <si>
    <t>12-15.05.25</t>
  </si>
  <si>
    <t>16-19.06.25</t>
  </si>
  <si>
    <t>14-17.07.25</t>
  </si>
  <si>
    <t>11-14.08.25</t>
  </si>
  <si>
    <t>15-18.09.25</t>
  </si>
  <si>
    <t>14-16.10</t>
  </si>
  <si>
    <t>18-20.11</t>
  </si>
  <si>
    <t>16-18.12</t>
  </si>
  <si>
    <t>Повышенный кэшбэк 30%</t>
  </si>
  <si>
    <t>Лицо</t>
  </si>
  <si>
    <t>Волосы</t>
  </si>
  <si>
    <t>Тело</t>
  </si>
  <si>
    <t>Наборы</t>
  </si>
  <si>
    <t>Руки/ноги</t>
  </si>
  <si>
    <t>А215</t>
  </si>
  <si>
    <t>https://aravia.ru/catalog/nabory/</t>
  </si>
  <si>
    <t>А090</t>
  </si>
  <si>
    <t>А085</t>
  </si>
  <si>
    <t>А152</t>
  </si>
  <si>
    <t>А127</t>
  </si>
  <si>
    <t>А086</t>
  </si>
  <si>
    <t>А216</t>
  </si>
  <si>
    <t>А064</t>
  </si>
  <si>
    <t>А016</t>
  </si>
  <si>
    <t>А036</t>
  </si>
  <si>
    <t>А033</t>
  </si>
  <si>
    <t>А125</t>
  </si>
  <si>
    <t>А017</t>
  </si>
  <si>
    <t>А103</t>
  </si>
  <si>
    <t>В072</t>
  </si>
  <si>
    <t>А092</t>
  </si>
  <si>
    <t>А019</t>
  </si>
  <si>
    <t>А110</t>
  </si>
  <si>
    <t>А113</t>
  </si>
  <si>
    <t>А154</t>
  </si>
  <si>
    <t>А101</t>
  </si>
  <si>
    <t>А077</t>
  </si>
  <si>
    <t>А047</t>
  </si>
  <si>
    <t>В057</t>
  </si>
  <si>
    <t>А162</t>
  </si>
  <si>
    <t>А015</t>
  </si>
  <si>
    <t>А066</t>
  </si>
  <si>
    <t>А108</t>
  </si>
  <si>
    <t>А076</t>
  </si>
  <si>
    <t>Р7001</t>
  </si>
  <si>
    <t>А078</t>
  </si>
  <si>
    <t>А137</t>
  </si>
  <si>
    <t>А163</t>
  </si>
  <si>
    <t>В058</t>
  </si>
  <si>
    <t>А018</t>
  </si>
  <si>
    <t>А161</t>
  </si>
  <si>
    <t>А126</t>
  </si>
  <si>
    <t>А123</t>
  </si>
  <si>
    <t>А124</t>
  </si>
  <si>
    <t>А121</t>
  </si>
  <si>
    <t>А122</t>
  </si>
  <si>
    <t>Подарок</t>
  </si>
  <si>
    <t>Наименование</t>
  </si>
  <si>
    <t>Сумма заказа</t>
  </si>
  <si>
    <t>Период проведения</t>
  </si>
  <si>
    <t>Количество дней</t>
  </si>
  <si>
    <t>Количество чеков</t>
  </si>
  <si>
    <t>Доход</t>
  </si>
  <si>
    <t>Средний чек</t>
  </si>
  <si>
    <t>Доход за день</t>
  </si>
  <si>
    <t>А138</t>
  </si>
  <si>
    <t>Ночная маска-желе для лица Galactomyces Therapy, 100 мл</t>
  </si>
  <si>
    <t>заказ 2-х продуктов из серии Galactomyces</t>
  </si>
  <si>
    <t>15 декабря - 31 января</t>
  </si>
  <si>
    <t>Мультифункциональный SOS-тоник для лица, 100 мл (ОСГ)</t>
  </si>
  <si>
    <t>Подарки за каждый заказ от 500</t>
  </si>
  <si>
    <t>1 - 31 января</t>
  </si>
  <si>
    <t>А111</t>
  </si>
  <si>
    <t>Антицеллюлитное молочко с маслом кофе и морскими минералами Anti-Cellulite Detox Milk, 200 мл</t>
  </si>
  <si>
    <t>Подарки за каждый заказ:</t>
  </si>
  <si>
    <t>1-12 января</t>
  </si>
  <si>
    <t>Гель для ног тонизирующий Easy Step, 100 мл (ОСГ)</t>
  </si>
  <si>
    <t>за первый заказ от 1 500 ₽</t>
  </si>
  <si>
    <t>12 - 31 января</t>
  </si>
  <si>
    <t>А068</t>
  </si>
  <si>
    <t>Крем для лица для сияния кожи с витамином С Vitamin-C Radiance Cream, 50 мл</t>
  </si>
  <si>
    <t>за закупку в любых разделах: от 2 000 руб</t>
  </si>
  <si>
    <t>Лимфодренажная маска для лица с красными водорослями и кофеином URBAN DETOX MASK, 100 мл</t>
  </si>
  <si>
    <t>за закупку в любых разделах от 4 000 руб</t>
  </si>
  <si>
    <t>Антиоксидантный тоник для лица с глутатионом и витамином С Vita Glow Tonic, 200 мл</t>
  </si>
  <si>
    <t>за закупку в любых разделах: от 6 000 руб</t>
  </si>
  <si>
    <t>ARAVIA Laboratories Антицеллюлитное молочко с маслом кофе и морскими минералами Anti-Cellulite Detox Milk, 200 мл/6</t>
  </si>
  <si>
    <t>во все заказы от 1000 руб</t>
  </si>
  <si>
    <t>2-4 февраля</t>
  </si>
  <si>
    <t>ARAVIA Professional Мультифункциональный SOS-тоник для лица, 100 мл/6</t>
  </si>
  <si>
    <t>во все заказы от 500 руб.</t>
  </si>
  <si>
    <t>2 - 28 февраля</t>
  </si>
  <si>
    <t>енка для умывания с муцином улитки и зелёным чаем Snail Foam Cleanser, 160 мл</t>
  </si>
  <si>
    <t>от 3 000₽ до 4 999₽</t>
  </si>
  <si>
    <t>1 - 28 февраля</t>
  </si>
  <si>
    <t>Крем лифтинговый с аминокислотами и полисахаридами Anti-Wrinkle Lifting Cream, 100 мл</t>
  </si>
  <si>
    <t>от 5 000₽</t>
  </si>
  <si>
    <t>Крем для лица интенсивно увлажняющий с мочевиной Intensive Moisture Cream, 100 мл</t>
  </si>
  <si>
    <t>за первый заказ от 1 500 руб</t>
  </si>
  <si>
    <t xml:space="preserve">1 - 28 февраля
</t>
  </si>
  <si>
    <t>А145</t>
  </si>
  <si>
    <t>Очищающая пенка для умывания с маслом чайного дерева и чёрным углём Black Cleans</t>
  </si>
  <si>
    <t>за заказ от 2 000₽ в подборке для мужчин</t>
  </si>
  <si>
    <t>15 - 23 февраля</t>
  </si>
  <si>
    <t>Обновляющий гель для умывания RETINOL CARE, 250 мл</t>
  </si>
  <si>
    <t>при покупке 2-х товаров из серии Retinol Care</t>
  </si>
  <si>
    <t>1 - 15 марта</t>
  </si>
  <si>
    <t>аска для лица с коллагеновым комплексом Collagen Anti-wrinkle Mask, 100 мл</t>
  </si>
  <si>
    <t>за заказ от 3 000 ₽ в каталоге</t>
  </si>
  <si>
    <t>А010</t>
  </si>
  <si>
    <t>Пенка для умывания с муцином улитки и гинкго билоба Energy Skin Foam, 150 мл</t>
  </si>
  <si>
    <t>за заказ от 4 500 ₽ в каталоге</t>
  </si>
  <si>
    <t>А059</t>
  </si>
  <si>
    <t>Крем-лифтинг от морщин с пептидами Anti-Age Lifting Cream, 50 мл</t>
  </si>
  <si>
    <t>за заказ от 6 000 ₽ в каталоге</t>
  </si>
  <si>
    <t>Онлайн курс</t>
  </si>
  <si>
    <t>Курс: Три шага к идеальному телу: детоксикация, уменьшение объёмов, лифтин</t>
  </si>
  <si>
    <t>за покупку на 2 000 ₽ в любых разделах сайта</t>
  </si>
  <si>
    <t>Крем для рук Cream Oil с маслом макадамии и карите, 100 мл</t>
  </si>
  <si>
    <t>Промокод</t>
  </si>
  <si>
    <t>Описание</t>
  </si>
  <si>
    <t>Дата проведения</t>
  </si>
  <si>
    <t>Кол-во дней</t>
  </si>
  <si>
    <t>Заказы</t>
  </si>
  <si>
    <t>Сумма</t>
  </si>
  <si>
    <t>Доход в день</t>
  </si>
  <si>
    <t>НГ10</t>
  </si>
  <si>
    <t>-10% на заказ от 3000 руб</t>
  </si>
  <si>
    <t xml:space="preserve">29 декабря - 8 января
</t>
  </si>
  <si>
    <t>НГ15</t>
  </si>
  <si>
    <t>-15% на заказ от 5 000 руб</t>
  </si>
  <si>
    <t>29 декабря - 8 января</t>
  </si>
  <si>
    <t>НГ20</t>
  </si>
  <si>
    <t>-20% на заказ от 13 000 руб</t>
  </si>
  <si>
    <t>-</t>
  </si>
  <si>
    <t xml:space="preserve">GIFT-K75SB
</t>
  </si>
  <si>
    <t>А094-Восстанавливающая сыворотка для лица с астаксантином и мочевиной Total Recovery Serum, 50 мл</t>
  </si>
  <si>
    <t>Геймификация подарок за заказ от 
1 800 руб</t>
  </si>
  <si>
    <t>9 - 14 февраля</t>
  </si>
  <si>
    <t xml:space="preserve">GIFT-UMP75
</t>
  </si>
  <si>
    <t>А129-Полирующий мусс для лица с протеинами риса и молочной кислотой VELVET PURITY MOUSSE</t>
  </si>
  <si>
    <t xml:space="preserve">GIFT-RHXRA
</t>
  </si>
  <si>
    <t>А125-Лимфодренажная маска для лица с красными водорослями и кофеином URBAN DETOX MASK, 100 мл</t>
  </si>
  <si>
    <t>7</t>
  </si>
  <si>
    <t>EMOLLIENT</t>
  </si>
  <si>
    <t>А075-ARAVIA Laboratories Крем для лица и тела липидовосстанавливающий Repair Lipid Emollient, 200 мл/6</t>
  </si>
  <si>
    <t>заказов от 1000 руб</t>
  </si>
  <si>
    <t xml:space="preserve">LOVE </t>
  </si>
  <si>
    <t>-15% на все товары, кроме SALE</t>
  </si>
  <si>
    <t>1 - 11 февраля</t>
  </si>
  <si>
    <t>ВЕСНА</t>
  </si>
  <si>
    <t xml:space="preserve"> -15% на всё, кроме обучения и SALE</t>
  </si>
  <si>
    <t>3 - 8 марта</t>
  </si>
  <si>
    <t>МАСТХЭВ</t>
  </si>
  <si>
    <t>-15% на весенний уход, кроме SALE</t>
  </si>
  <si>
    <t>27 - 30 марта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</si>
</sst>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р.-419]#,##0.00"/>
    <numFmt numFmtId="165" formatCode="[$р.]#,##0.00"/>
    <numFmt numFmtId="166" formatCode="[$р.-419]#,##0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/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u/>
      <color rgb="FF0000FF"/>
    </font>
    <font>
      <b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9.0"/>
      <color rgb="FF333333"/>
      <name val="System-ui"/>
    </font>
    <font>
      <sz val="11.0"/>
      <color rgb="FF333333"/>
      <name val="System-ui"/>
    </font>
    <font>
      <sz val="9.0"/>
      <color rgb="FF333333"/>
      <name val="Arial"/>
    </font>
    <font>
      <sz val="9.0"/>
      <color theme="1"/>
      <name val="Arial"/>
      <scheme val="minor"/>
    </font>
    <font>
      <b/>
      <sz val="14.0"/>
      <color theme="1"/>
      <name val="Calibri"/>
    </font>
    <font>
      <sz val="11.0"/>
      <color rgb="FF151515"/>
      <name val="Arial"/>
    </font>
    <font>
      <sz val="14.0"/>
      <color theme="1"/>
      <name val="Calibri"/>
    </font>
    <font>
      <sz val="12.0"/>
      <color theme="1"/>
      <name val="Calibri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FFE699"/>
        <bgColor rgb="FFFFE699"/>
      </patternFill>
    </fill>
    <fill>
      <patternFill patternType="solid">
        <fgColor rgb="FFD9D2E9"/>
        <bgColor rgb="FFD9D2E9"/>
      </patternFill>
    </fill>
    <fill>
      <patternFill patternType="solid">
        <fgColor rgb="FFFFD3E3"/>
        <bgColor rgb="FFFFD3E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4" fillId="2" fontId="2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5" fillId="3" fontId="2" numFmtId="0" xfId="0" applyAlignment="1" applyBorder="1" applyFill="1" applyFont="1">
      <alignment horizontal="center" readingOrder="0" shrinkToFit="0" vertical="bottom" wrapText="1"/>
    </xf>
    <xf borderId="6" fillId="0" fontId="4" numFmtId="0" xfId="0" applyBorder="1" applyFont="1"/>
    <xf borderId="4" fillId="0" fontId="4" numFmtId="0" xfId="0" applyBorder="1" applyFont="1"/>
    <xf borderId="3" fillId="2" fontId="2" numFmtId="0" xfId="0" applyAlignment="1" applyBorder="1" applyFont="1">
      <alignment horizontal="center" readingOrder="0" shrinkToFit="0" vertical="bottom" wrapText="1"/>
    </xf>
    <xf borderId="7" fillId="0" fontId="5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readingOrder="0" shrinkToFit="0" wrapText="1"/>
    </xf>
    <xf borderId="8" fillId="4" fontId="9" numFmtId="0" xfId="0" applyAlignment="1" applyBorder="1" applyFill="1" applyFont="1">
      <alignment horizontal="center" shrinkToFit="0" wrapText="1"/>
    </xf>
    <xf borderId="8" fillId="4" fontId="10" numFmtId="0" xfId="0" applyAlignment="1" applyBorder="1" applyFont="1">
      <alignment horizontal="center" shrinkToFit="0" wrapText="1"/>
    </xf>
    <xf borderId="8" fillId="4" fontId="9" numFmtId="3" xfId="0" applyAlignment="1" applyBorder="1" applyFont="1" applyNumberFormat="1">
      <alignment horizontal="center" shrinkToFit="0" wrapText="1"/>
    </xf>
    <xf borderId="8" fillId="4" fontId="9" numFmtId="164" xfId="0" applyAlignment="1" applyBorder="1" applyFont="1" applyNumberFormat="1">
      <alignment horizontal="center" shrinkToFit="0" wrapText="1"/>
    </xf>
    <xf borderId="3" fillId="5" fontId="1" numFmtId="0" xfId="0" applyAlignment="1" applyBorder="1" applyFill="1" applyFont="1">
      <alignment horizontal="center" shrinkToFit="0" vertical="bottom" wrapText="1"/>
    </xf>
    <xf borderId="3" fillId="5" fontId="11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horizontal="center" shrinkToFit="0" vertical="bottom" wrapText="1"/>
    </xf>
    <xf borderId="3" fillId="5" fontId="1" numFmtId="0" xfId="0" applyAlignment="1" applyBorder="1" applyFont="1">
      <alignment horizontal="center" readingOrder="0" vertical="bottom"/>
    </xf>
    <xf borderId="3" fillId="5" fontId="1" numFmtId="164" xfId="0" applyAlignment="1" applyBorder="1" applyFont="1" applyNumberFormat="1">
      <alignment readingOrder="0" vertical="bottom"/>
    </xf>
    <xf borderId="3" fillId="5" fontId="1" numFmtId="164" xfId="0" applyAlignment="1" applyBorder="1" applyFont="1" applyNumberFormat="1">
      <alignment vertical="bottom"/>
    </xf>
    <xf borderId="1" fillId="5" fontId="1" numFmtId="0" xfId="0" applyAlignment="1" applyBorder="1" applyFont="1">
      <alignment horizontal="center" shrinkToFit="0" vertical="bottom" wrapText="1"/>
    </xf>
    <xf borderId="1" fillId="5" fontId="1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horizontal="center" readingOrder="0" vertical="bottom"/>
    </xf>
    <xf borderId="1" fillId="5" fontId="1" numFmtId="164" xfId="0" applyAlignment="1" applyBorder="1" applyFont="1" applyNumberFormat="1">
      <alignment readingOrder="0" vertical="bottom"/>
    </xf>
    <xf borderId="1" fillId="5" fontId="1" numFmtId="164" xfId="0" applyAlignment="1" applyBorder="1" applyFont="1" applyNumberFormat="1">
      <alignment vertical="bottom"/>
    </xf>
    <xf borderId="2" fillId="5" fontId="11" numFmtId="0" xfId="0" applyAlignment="1" applyBorder="1" applyFont="1">
      <alignment shrinkToFit="0" vertical="bottom" wrapText="1"/>
    </xf>
    <xf borderId="5" fillId="5" fontId="1" numFmtId="0" xfId="0" applyAlignment="1" applyBorder="1" applyFont="1">
      <alignment horizontal="center" shrinkToFit="0" vertical="bottom" wrapText="1"/>
    </xf>
    <xf borderId="1" fillId="5" fontId="12" numFmtId="0" xfId="0" applyAlignment="1" applyBorder="1" applyFont="1">
      <alignment shrinkToFit="0" vertical="bottom" wrapText="1"/>
    </xf>
    <xf borderId="4" fillId="5" fontId="1" numFmtId="0" xfId="0" applyAlignment="1" applyBorder="1" applyFont="1">
      <alignment shrinkToFit="0" vertical="bottom" wrapText="1"/>
    </xf>
    <xf borderId="1" fillId="5" fontId="13" numFmtId="0" xfId="0" applyAlignment="1" applyBorder="1" applyFont="1">
      <alignment vertical="bottom"/>
    </xf>
    <xf borderId="1" fillId="5" fontId="1" numFmtId="0" xfId="0" applyAlignment="1" applyBorder="1" applyFont="1">
      <alignment horizontal="center" vertical="bottom"/>
    </xf>
    <xf borderId="1" fillId="5" fontId="1" numFmtId="164" xfId="0" applyAlignment="1" applyBorder="1" applyFont="1" applyNumberFormat="1">
      <alignment horizontal="right" vertical="bottom"/>
    </xf>
    <xf borderId="1" fillId="5" fontId="14" numFmtId="0" xfId="0" applyAlignment="1" applyBorder="1" applyFont="1">
      <alignment shrinkToFit="0" vertical="bottom" wrapText="1"/>
    </xf>
    <xf borderId="0" fillId="5" fontId="1" numFmtId="0" xfId="0" applyAlignment="1" applyFont="1">
      <alignment shrinkToFit="0" vertical="bottom" wrapText="1"/>
    </xf>
    <xf borderId="1" fillId="6" fontId="3" numFmtId="0" xfId="0" applyAlignment="1" applyBorder="1" applyFill="1" applyFont="1">
      <alignment horizontal="center" readingOrder="0"/>
    </xf>
    <xf borderId="1" fillId="6" fontId="15" numFmtId="0" xfId="0" applyAlignment="1" applyBorder="1" applyFont="1">
      <alignment readingOrder="0" shrinkToFit="0" wrapText="1"/>
    </xf>
    <xf borderId="1" fillId="6" fontId="3" numFmtId="0" xfId="0" applyAlignment="1" applyBorder="1" applyFont="1">
      <alignment readingOrder="0" shrinkToFit="0" wrapText="1"/>
    </xf>
    <xf borderId="1" fillId="6" fontId="1" numFmtId="164" xfId="0" applyAlignment="1" applyBorder="1" applyFont="1" applyNumberFormat="1">
      <alignment horizontal="right" vertical="bottom"/>
    </xf>
    <xf borderId="1" fillId="6" fontId="3" numFmtId="164" xfId="0" applyBorder="1" applyFont="1" applyNumberFormat="1"/>
    <xf borderId="1" fillId="6" fontId="3" numFmtId="0" xfId="0" applyAlignment="1" applyBorder="1" applyFont="1">
      <alignment horizontal="center" readingOrder="0" shrinkToFit="0" wrapText="1"/>
    </xf>
    <xf borderId="1" fillId="6" fontId="3" numFmtId="0" xfId="0" applyBorder="1" applyFont="1"/>
    <xf borderId="1" fillId="6" fontId="3" numFmtId="0" xfId="0" applyAlignment="1" applyBorder="1" applyFont="1">
      <alignment readingOrder="0"/>
    </xf>
    <xf borderId="1" fillId="6" fontId="1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center"/>
    </xf>
    <xf borderId="1" fillId="0" fontId="15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Border="1" applyFont="1"/>
    <xf borderId="1" fillId="7" fontId="3" numFmtId="0" xfId="0" applyAlignment="1" applyBorder="1" applyFill="1" applyFont="1">
      <alignment horizontal="center" readingOrder="0"/>
    </xf>
    <xf borderId="1" fillId="7" fontId="15" numFmtId="0" xfId="0" applyAlignment="1" applyBorder="1" applyFont="1">
      <alignment readingOrder="0" shrinkToFit="0" wrapText="1"/>
    </xf>
    <xf borderId="1" fillId="7" fontId="3" numFmtId="0" xfId="0" applyAlignment="1" applyBorder="1" applyFont="1">
      <alignment horizontal="center" readingOrder="0" shrinkToFit="0" wrapText="1"/>
    </xf>
    <xf borderId="1" fillId="7" fontId="3" numFmtId="0" xfId="0" applyBorder="1" applyFont="1"/>
    <xf borderId="0" fillId="0" fontId="15" numFmtId="0" xfId="0" applyFont="1"/>
    <xf borderId="9" fillId="8" fontId="16" numFmtId="0" xfId="0" applyAlignment="1" applyBorder="1" applyFill="1" applyFont="1">
      <alignment horizontal="center" shrinkToFit="0" vertical="bottom" wrapText="1"/>
    </xf>
    <xf borderId="9" fillId="8" fontId="16" numFmtId="0" xfId="0" applyAlignment="1" applyBorder="1" applyFont="1">
      <alignment horizontal="center" readingOrder="0" shrinkToFit="0" vertical="bottom" wrapText="1"/>
    </xf>
    <xf borderId="10" fillId="8" fontId="16" numFmtId="0" xfId="0" applyAlignment="1" applyBorder="1" applyFont="1">
      <alignment horizontal="center" shrinkToFit="0" vertical="bottom" wrapText="1"/>
    </xf>
    <xf borderId="9" fillId="8" fontId="16" numFmtId="1" xfId="0" applyAlignment="1" applyBorder="1" applyFont="1" applyNumberFormat="1">
      <alignment horizontal="center" shrinkToFit="0" vertical="bottom" wrapText="1"/>
    </xf>
    <xf borderId="3" fillId="5" fontId="17" numFmtId="0" xfId="0" applyAlignment="1" applyBorder="1" applyFont="1">
      <alignment readingOrder="0" shrinkToFit="0" vertical="bottom" wrapText="1"/>
    </xf>
    <xf borderId="3" fillId="5" fontId="17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center" readingOrder="0" shrinkToFit="0" vertical="bottom" wrapText="1"/>
    </xf>
    <xf borderId="7" fillId="5" fontId="1" numFmtId="0" xfId="0" applyAlignment="1" applyBorder="1" applyFont="1">
      <alignment horizontal="center" readingOrder="0" vertical="bottom"/>
    </xf>
    <xf borderId="7" fillId="5" fontId="1" numFmtId="3" xfId="0" applyAlignment="1" applyBorder="1" applyFont="1" applyNumberFormat="1">
      <alignment horizontal="center" readingOrder="0" vertical="bottom"/>
    </xf>
    <xf borderId="3" fillId="5" fontId="1" numFmtId="164" xfId="0" applyAlignment="1" applyBorder="1" applyFont="1" applyNumberFormat="1">
      <alignment horizontal="center" readingOrder="0" vertical="bottom"/>
    </xf>
    <xf borderId="3" fillId="5" fontId="1" numFmtId="164" xfId="0" applyAlignment="1" applyBorder="1" applyFont="1" applyNumberFormat="1">
      <alignment horizontal="right" vertical="bottom"/>
    </xf>
    <xf borderId="1" fillId="5" fontId="17" numFmtId="0" xfId="0" applyAlignment="1" applyBorder="1" applyFont="1">
      <alignment readingOrder="0" shrinkToFit="0" vertical="bottom" wrapText="1"/>
    </xf>
    <xf borderId="1" fillId="5" fontId="17" numFmtId="0" xfId="0" applyAlignment="1" applyBorder="1" applyFont="1">
      <alignment readingOrder="0" vertical="bottom"/>
    </xf>
    <xf borderId="4" fillId="5" fontId="1" numFmtId="0" xfId="0" applyAlignment="1" applyBorder="1" applyFont="1">
      <alignment horizontal="center" readingOrder="0" vertical="bottom"/>
    </xf>
    <xf borderId="4" fillId="5" fontId="1" numFmtId="3" xfId="0" applyAlignment="1" applyBorder="1" applyFont="1" applyNumberFormat="1">
      <alignment horizontal="center" readingOrder="0" vertical="bottom"/>
    </xf>
    <xf borderId="1" fillId="5" fontId="1" numFmtId="164" xfId="0" applyAlignment="1" applyBorder="1" applyFont="1" applyNumberFormat="1">
      <alignment horizontal="center" readingOrder="0" vertical="bottom"/>
    </xf>
    <xf borderId="11" fillId="5" fontId="17" numFmtId="0" xfId="0" applyAlignment="1" applyBorder="1" applyFont="1">
      <alignment readingOrder="0" shrinkToFit="0" vertical="bottom" wrapText="1"/>
    </xf>
    <xf borderId="11" fillId="5" fontId="1" numFmtId="0" xfId="0" applyAlignment="1" applyBorder="1" applyFont="1">
      <alignment vertical="bottom"/>
    </xf>
    <xf borderId="12" fillId="5" fontId="1" numFmtId="0" xfId="0" applyAlignment="1" applyBorder="1" applyFont="1">
      <alignment horizontal="center" readingOrder="0" shrinkToFit="0" vertical="bottom" wrapText="1"/>
    </xf>
    <xf borderId="11" fillId="5" fontId="1" numFmtId="0" xfId="0" applyAlignment="1" applyBorder="1" applyFont="1">
      <alignment horizontal="center" readingOrder="0" vertical="bottom"/>
    </xf>
    <xf borderId="11" fillId="5" fontId="1" numFmtId="3" xfId="0" applyAlignment="1" applyBorder="1" applyFont="1" applyNumberFormat="1">
      <alignment horizontal="center" readingOrder="0" vertical="bottom"/>
    </xf>
    <xf borderId="11" fillId="5" fontId="1" numFmtId="164" xfId="0" applyAlignment="1" applyBorder="1" applyFont="1" applyNumberFormat="1">
      <alignment horizontal="center" vertical="bottom"/>
    </xf>
    <xf borderId="11" fillId="5" fontId="1" numFmtId="0" xfId="0" applyAlignment="1" applyBorder="1" applyFont="1">
      <alignment horizontal="right" vertical="bottom"/>
    </xf>
    <xf borderId="3" fillId="7" fontId="18" numFmtId="0" xfId="0" applyAlignment="1" applyBorder="1" applyFont="1">
      <alignment horizontal="center" readingOrder="0" shrinkToFit="0" vertical="bottom" wrapText="1"/>
    </xf>
    <xf borderId="3" fillId="7" fontId="19" numFmtId="0" xfId="0" applyAlignment="1" applyBorder="1" applyFont="1">
      <alignment horizontal="center" readingOrder="0" shrinkToFit="0" vertical="bottom" wrapText="1"/>
    </xf>
    <xf borderId="3" fillId="7" fontId="5" numFmtId="0" xfId="0" applyAlignment="1" applyBorder="1" applyFont="1">
      <alignment horizontal="center" readingOrder="0" shrinkToFit="0" vertical="bottom" wrapText="1"/>
    </xf>
    <xf borderId="3" fillId="7" fontId="5" numFmtId="165" xfId="0" applyAlignment="1" applyBorder="1" applyFont="1" applyNumberFormat="1">
      <alignment horizontal="center" readingOrder="0" shrinkToFit="0" vertical="bottom" wrapText="1"/>
    </xf>
    <xf borderId="3" fillId="7" fontId="18" numFmtId="165" xfId="0" applyAlignment="1" applyBorder="1" applyFont="1" applyNumberFormat="1">
      <alignment horizontal="center" shrinkToFit="0" vertical="bottom" wrapText="1"/>
    </xf>
    <xf borderId="3" fillId="7" fontId="18" numFmtId="164" xfId="0" applyAlignment="1" applyBorder="1" applyFont="1" applyNumberFormat="1">
      <alignment horizontal="center" readingOrder="0" shrinkToFit="0" vertical="bottom" wrapText="1"/>
    </xf>
    <xf borderId="3" fillId="7" fontId="18" numFmtId="164" xfId="0" applyAlignment="1" applyBorder="1" applyFont="1" applyNumberFormat="1">
      <alignment horizontal="center" shrinkToFit="0" vertical="bottom" wrapText="1"/>
    </xf>
    <xf borderId="3" fillId="7" fontId="5" numFmtId="0" xfId="0" applyAlignment="1" applyBorder="1" applyFont="1">
      <alignment horizontal="center" readingOrder="0" vertical="bottom"/>
    </xf>
    <xf borderId="3" fillId="7" fontId="20" numFmtId="49" xfId="0" applyAlignment="1" applyBorder="1" applyFont="1" applyNumberFormat="1">
      <alignment horizontal="center" readingOrder="0" vertical="bottom"/>
    </xf>
    <xf borderId="1" fillId="7" fontId="1" numFmtId="164" xfId="0" applyAlignment="1" applyBorder="1" applyFont="1" applyNumberFormat="1">
      <alignment horizontal="center" readingOrder="0" vertical="bottom"/>
    </xf>
    <xf borderId="3" fillId="7" fontId="18" numFmtId="166" xfId="0" applyAlignment="1" applyBorder="1" applyFont="1" applyNumberFormat="1">
      <alignment horizontal="center" shrinkToFit="0" vertical="bottom" wrapText="1"/>
    </xf>
    <xf borderId="3" fillId="7" fontId="5" numFmtId="164" xfId="0" applyAlignment="1" applyBorder="1" applyFont="1" applyNumberFormat="1">
      <alignment horizontal="center" shrinkToFit="0" vertical="bottom" wrapText="1"/>
    </xf>
    <xf borderId="3" fillId="7" fontId="5" numFmtId="164" xfId="0" applyAlignment="1" applyBorder="1" applyFont="1" applyNumberFormat="1">
      <alignment horizontal="center" readingOrder="0" shrinkToFit="0" vertical="bottom" wrapText="1"/>
    </xf>
    <xf borderId="1" fillId="9" fontId="3" numFmtId="0" xfId="0" applyAlignment="1" applyBorder="1" applyFill="1" applyFont="1">
      <alignment horizontal="center" readingOrder="0"/>
    </xf>
    <xf borderId="1" fillId="9" fontId="3" numFmtId="0" xfId="0" applyAlignment="1" applyBorder="1" applyFont="1">
      <alignment horizontal="center"/>
    </xf>
    <xf borderId="1" fillId="9" fontId="3" numFmtId="0" xfId="0" applyAlignment="1" applyBorder="1" applyFont="1">
      <alignment horizontal="center" readingOrder="0" shrinkToFit="0" wrapText="1"/>
    </xf>
    <xf borderId="1" fillId="9" fontId="3" numFmtId="0" xfId="0" applyBorder="1" applyFont="1"/>
    <xf borderId="1" fillId="9" fontId="3" numFmtId="164" xfId="0" applyBorder="1" applyFont="1" applyNumberFormat="1"/>
    <xf borderId="1" fillId="9" fontId="3" numFmtId="0" xfId="0" applyAlignment="1" applyBorder="1" applyFont="1">
      <alignment horizontal="center" shrinkToFit="0" wrapText="1"/>
    </xf>
    <xf borderId="1" fillId="9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ravia.ru/catalog/nabory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13"/>
    <col customWidth="1" min="3" max="3" width="34.38"/>
    <col customWidth="1" min="10" max="10" width="14.75"/>
    <col customWidth="1" min="13" max="13" width="15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0.5" customHeight="1">
      <c r="A2" s="4" t="s">
        <v>12</v>
      </c>
      <c r="B2" s="5"/>
      <c r="C2" s="5" t="s">
        <v>13</v>
      </c>
      <c r="D2" s="6"/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5" t="s">
        <v>14</v>
      </c>
      <c r="C3" s="5" t="s">
        <v>15</v>
      </c>
      <c r="D3" s="6"/>
      <c r="E3" s="6"/>
      <c r="F3" s="6"/>
      <c r="G3" s="6"/>
      <c r="H3" s="6"/>
      <c r="I3" s="6"/>
      <c r="J3" s="6"/>
      <c r="K3" s="6"/>
      <c r="L3" s="6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16</v>
      </c>
      <c r="B4" s="5" t="s">
        <v>17</v>
      </c>
      <c r="C4" s="5" t="s">
        <v>18</v>
      </c>
      <c r="D4" s="5"/>
      <c r="E4" s="5"/>
      <c r="F4" s="5"/>
      <c r="G4" s="5"/>
      <c r="H4" s="5"/>
      <c r="I4" s="5"/>
      <c r="J4" s="5"/>
      <c r="K4" s="5"/>
      <c r="L4" s="5"/>
      <c r="M4" s="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19</v>
      </c>
      <c r="B5" s="5" t="s">
        <v>20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  <c r="I6" s="5" t="s">
        <v>29</v>
      </c>
      <c r="J6" s="5" t="s">
        <v>30</v>
      </c>
      <c r="K6" s="5" t="s">
        <v>31</v>
      </c>
      <c r="L6" s="5" t="s">
        <v>32</v>
      </c>
      <c r="M6" s="5" t="s">
        <v>33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34</v>
      </c>
      <c r="B7" s="5" t="s">
        <v>35</v>
      </c>
      <c r="C7" s="5" t="s">
        <v>36</v>
      </c>
      <c r="D7" s="6"/>
      <c r="E7" s="6"/>
      <c r="F7" s="6"/>
      <c r="G7" s="6"/>
      <c r="H7" s="6"/>
      <c r="I7" s="6"/>
      <c r="J7" s="6"/>
      <c r="K7" s="6"/>
      <c r="L7" s="6"/>
      <c r="M7" s="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37</v>
      </c>
      <c r="B8" s="5" t="s">
        <v>38</v>
      </c>
      <c r="C8" s="5" t="s">
        <v>39</v>
      </c>
      <c r="D8" s="6"/>
      <c r="E8" s="6"/>
      <c r="F8" s="6"/>
      <c r="G8" s="6"/>
      <c r="H8" s="6"/>
      <c r="I8" s="6"/>
      <c r="J8" s="6"/>
      <c r="K8" s="6"/>
      <c r="L8" s="6"/>
      <c r="M8" s="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40</v>
      </c>
      <c r="B9" s="5" t="s">
        <v>41</v>
      </c>
      <c r="C9" s="5" t="s">
        <v>42</v>
      </c>
      <c r="D9" s="6"/>
      <c r="E9" s="6"/>
      <c r="F9" s="6"/>
      <c r="G9" s="6"/>
      <c r="H9" s="6"/>
      <c r="I9" s="6"/>
      <c r="J9" s="6"/>
      <c r="K9" s="6"/>
      <c r="L9" s="6"/>
      <c r="M9" s="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43</v>
      </c>
      <c r="B10" s="6"/>
      <c r="C10" s="6"/>
      <c r="D10" s="5" t="s">
        <v>44</v>
      </c>
      <c r="E10" s="6"/>
      <c r="F10" s="6"/>
      <c r="G10" s="6"/>
      <c r="H10" s="6"/>
      <c r="I10" s="6"/>
      <c r="J10" s="6"/>
      <c r="K10" s="6"/>
      <c r="L10" s="6"/>
      <c r="M10" s="5" t="s">
        <v>45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46</v>
      </c>
      <c r="B11" s="6"/>
      <c r="C11" s="5" t="s">
        <v>47</v>
      </c>
      <c r="D11" s="6"/>
      <c r="E11" s="6"/>
      <c r="F11" s="5" t="s">
        <v>48</v>
      </c>
      <c r="G11" s="6"/>
      <c r="H11" s="6"/>
      <c r="I11" s="5" t="s">
        <v>49</v>
      </c>
      <c r="J11" s="6"/>
      <c r="K11" s="6"/>
      <c r="L11" s="5" t="s">
        <v>50</v>
      </c>
      <c r="M11" s="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51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53</v>
      </c>
      <c r="B14" s="6"/>
      <c r="C14" s="5" t="s">
        <v>54</v>
      </c>
      <c r="D14" s="5" t="s">
        <v>55</v>
      </c>
      <c r="E14" s="5" t="s">
        <v>56</v>
      </c>
      <c r="F14" s="5" t="s">
        <v>57</v>
      </c>
      <c r="G14" s="5" t="s">
        <v>58</v>
      </c>
      <c r="H14" s="5" t="s">
        <v>59</v>
      </c>
      <c r="I14" s="6"/>
      <c r="J14" s="5" t="s">
        <v>60</v>
      </c>
      <c r="K14" s="5" t="s">
        <v>61</v>
      </c>
      <c r="L14" s="6"/>
      <c r="M14" s="5" t="s">
        <v>62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1">
    <mergeCell ref="A2:A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3" max="3" width="14.25"/>
    <col customWidth="1" min="12" max="12" width="14.0"/>
  </cols>
  <sheetData>
    <row r="1">
      <c r="A1" s="8" t="s">
        <v>63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64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65</v>
      </c>
      <c r="B3" s="15" t="s">
        <v>66</v>
      </c>
      <c r="C3" s="15" t="s">
        <v>67</v>
      </c>
      <c r="D3" s="15" t="s">
        <v>68</v>
      </c>
      <c r="E3" s="16" t="s">
        <v>69</v>
      </c>
      <c r="F3" s="16" t="s">
        <v>70</v>
      </c>
      <c r="G3" s="16" t="s">
        <v>71</v>
      </c>
      <c r="H3" s="16" t="s">
        <v>72</v>
      </c>
      <c r="I3" s="16" t="s">
        <v>73</v>
      </c>
      <c r="J3" s="16" t="s">
        <v>74</v>
      </c>
      <c r="K3" s="16" t="s">
        <v>75</v>
      </c>
      <c r="L3" s="16" t="s">
        <v>76</v>
      </c>
      <c r="M3" s="16" t="s">
        <v>77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78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4" t="s">
        <v>79</v>
      </c>
      <c r="B5" s="17"/>
      <c r="C5" s="17"/>
      <c r="D5" s="18"/>
      <c r="E5" s="18"/>
      <c r="F5" s="17"/>
      <c r="G5" s="17"/>
      <c r="H5" s="18"/>
      <c r="I5" s="17"/>
      <c r="J5" s="17"/>
      <c r="K5" s="17"/>
      <c r="L5" s="17"/>
      <c r="M5" s="1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4" t="s">
        <v>80</v>
      </c>
      <c r="B6" s="17"/>
      <c r="C6" s="17"/>
      <c r="D6" s="17"/>
      <c r="E6" s="17"/>
      <c r="F6" s="17"/>
      <c r="G6" s="18"/>
      <c r="H6" s="17"/>
      <c r="I6" s="17"/>
      <c r="J6" s="17"/>
      <c r="K6" s="18"/>
      <c r="L6" s="17"/>
      <c r="M6" s="17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4" t="s">
        <v>81</v>
      </c>
      <c r="B7" s="18"/>
      <c r="C7" s="17"/>
      <c r="D7" s="17"/>
      <c r="E7" s="17"/>
      <c r="F7" s="18"/>
      <c r="G7" s="17"/>
      <c r="H7" s="17"/>
      <c r="I7" s="17"/>
      <c r="K7" s="17"/>
      <c r="L7" s="17"/>
      <c r="M7" s="17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9" t="s">
        <v>82</v>
      </c>
      <c r="B8" s="17"/>
      <c r="C8" s="18"/>
      <c r="D8" s="17"/>
      <c r="E8" s="17"/>
      <c r="F8" s="17"/>
      <c r="G8" s="17"/>
      <c r="H8" s="17"/>
      <c r="I8" s="17"/>
      <c r="J8" s="17"/>
      <c r="K8" s="17"/>
      <c r="L8" s="18"/>
      <c r="M8" s="17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9" t="s">
        <v>83</v>
      </c>
      <c r="B9" s="17"/>
      <c r="C9" s="17"/>
      <c r="D9" s="17"/>
      <c r="E9" s="17"/>
      <c r="F9" s="17"/>
      <c r="G9" s="17"/>
      <c r="H9" s="17"/>
      <c r="I9" s="17"/>
      <c r="J9" s="18"/>
      <c r="K9" s="17"/>
      <c r="L9" s="17"/>
      <c r="M9" s="17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20">
        <v>7007.0</v>
      </c>
      <c r="C10" s="20" t="s">
        <v>84</v>
      </c>
      <c r="D10" s="20">
        <v>6327.0</v>
      </c>
      <c r="E10" s="20">
        <v>9101.0</v>
      </c>
      <c r="F10" s="10"/>
      <c r="G10" s="10"/>
      <c r="H10" s="10"/>
      <c r="I10" s="10"/>
      <c r="J10" s="10"/>
      <c r="K10" s="10"/>
      <c r="L10" s="21" t="s">
        <v>85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20">
        <v>7035.0</v>
      </c>
      <c r="C11" s="20">
        <v>6301.0</v>
      </c>
      <c r="D11" s="20" t="s">
        <v>86</v>
      </c>
      <c r="E11" s="20" t="s">
        <v>87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20">
        <v>7055.0</v>
      </c>
      <c r="C12" s="20" t="s">
        <v>88</v>
      </c>
      <c r="D12" s="20">
        <v>6220.0</v>
      </c>
      <c r="E12" s="20">
        <v>6219.0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20">
        <v>7052.0</v>
      </c>
      <c r="C13" s="20">
        <v>6300.0</v>
      </c>
      <c r="D13" s="20">
        <v>9222.0</v>
      </c>
      <c r="E13" s="20">
        <v>6212.0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20">
        <v>7058.0</v>
      </c>
      <c r="C14" s="20">
        <v>6331.0</v>
      </c>
      <c r="D14" s="20" t="s">
        <v>89</v>
      </c>
      <c r="E14" s="20" t="s">
        <v>90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20">
        <v>7064.0</v>
      </c>
      <c r="C15" s="20" t="s">
        <v>91</v>
      </c>
      <c r="D15" s="20">
        <v>6005.0</v>
      </c>
      <c r="E15" s="20">
        <v>9105.0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20">
        <v>7056.0</v>
      </c>
      <c r="C16" s="20">
        <v>6338.0</v>
      </c>
      <c r="D16" s="20">
        <v>6218.0</v>
      </c>
      <c r="E16" s="20" t="s">
        <v>92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20">
        <v>7006.0</v>
      </c>
      <c r="C17" s="20">
        <v>9231.0</v>
      </c>
      <c r="D17" s="20" t="s">
        <v>93</v>
      </c>
      <c r="E17" s="20" t="s">
        <v>94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20">
        <v>7051.0</v>
      </c>
      <c r="C18" s="20">
        <v>6350.0</v>
      </c>
      <c r="D18" s="20">
        <v>6016.0</v>
      </c>
      <c r="E18" s="20" t="s">
        <v>95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20">
        <v>7050.0</v>
      </c>
      <c r="C19" s="20">
        <v>6359.0</v>
      </c>
      <c r="D19" s="20" t="s">
        <v>96</v>
      </c>
      <c r="E19" s="20">
        <v>9102.0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20">
        <v>7041.0</v>
      </c>
      <c r="C20" s="20">
        <v>6355.0</v>
      </c>
      <c r="D20" s="20">
        <v>6002.0</v>
      </c>
      <c r="E20" s="20">
        <v>6216.0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20">
        <v>7045.0</v>
      </c>
      <c r="C21" s="20">
        <v>4094.0</v>
      </c>
      <c r="D21" s="20" t="s">
        <v>97</v>
      </c>
      <c r="E21" s="20">
        <v>6204.0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20">
        <v>7059.0</v>
      </c>
      <c r="C22" s="20">
        <v>9226.0</v>
      </c>
      <c r="D22" s="20">
        <v>6001.0</v>
      </c>
      <c r="E22" s="20">
        <v>4050.0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20" t="s">
        <v>98</v>
      </c>
      <c r="C23" s="20" t="s">
        <v>99</v>
      </c>
      <c r="D23" s="20">
        <v>9006.0</v>
      </c>
      <c r="E23" s="20">
        <v>6211.0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20">
        <v>7013.0</v>
      </c>
      <c r="C24" s="20" t="s">
        <v>100</v>
      </c>
      <c r="D24" s="20" t="s">
        <v>101</v>
      </c>
      <c r="E24" s="20">
        <v>6202.0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20" t="s">
        <v>102</v>
      </c>
      <c r="C25" s="20">
        <v>6351.0</v>
      </c>
      <c r="D25" s="20">
        <v>9008.0</v>
      </c>
      <c r="E25" s="20">
        <v>6203.0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20" t="s">
        <v>103</v>
      </c>
      <c r="C26" s="20" t="s">
        <v>104</v>
      </c>
      <c r="D26" s="20">
        <v>6013.0</v>
      </c>
      <c r="E26" s="20">
        <v>6118.0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20" t="s">
        <v>105</v>
      </c>
      <c r="C27" s="20" t="s">
        <v>106</v>
      </c>
      <c r="D27" s="20">
        <v>6019.0</v>
      </c>
      <c r="E27" s="20" t="s">
        <v>107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20">
        <v>7024.0</v>
      </c>
      <c r="C28" s="20" t="s">
        <v>108</v>
      </c>
      <c r="D28" s="20">
        <v>6000.0</v>
      </c>
      <c r="E28" s="20" t="s">
        <v>109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20">
        <v>7049.0</v>
      </c>
      <c r="C29" s="20">
        <v>6322.0</v>
      </c>
      <c r="D29" s="20" t="s">
        <v>110</v>
      </c>
      <c r="E29" s="20">
        <v>9104.0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20">
        <v>7046.0</v>
      </c>
      <c r="C30" s="20">
        <v>6344.0</v>
      </c>
      <c r="D30" s="20" t="s">
        <v>111</v>
      </c>
      <c r="E30" s="20">
        <v>6117.0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20" t="s">
        <v>112</v>
      </c>
      <c r="C31" s="20" t="s">
        <v>113</v>
      </c>
      <c r="D31" s="20">
        <v>6003.0</v>
      </c>
      <c r="E31" s="20">
        <v>9215.0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20" t="s">
        <v>114</v>
      </c>
      <c r="C32" s="20" t="s">
        <v>115</v>
      </c>
      <c r="D32" s="20">
        <v>9001.0</v>
      </c>
      <c r="E32" s="20" t="s">
        <v>116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C33" s="20">
        <v>4082.0</v>
      </c>
      <c r="D33" s="20">
        <v>6022.0</v>
      </c>
      <c r="E33" s="20" t="s">
        <v>117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C34" s="20">
        <v>4083.0</v>
      </c>
      <c r="D34" s="20">
        <v>9007.0</v>
      </c>
      <c r="E34" s="20">
        <v>9114.0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20" t="s">
        <v>118</v>
      </c>
      <c r="D35" s="20">
        <v>6012.0</v>
      </c>
      <c r="E35" s="20">
        <v>6201.0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20">
        <v>6335.0</v>
      </c>
      <c r="D36" s="20">
        <v>6020.0</v>
      </c>
      <c r="E36" s="20">
        <v>6111.0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D37" s="20">
        <v>9002.0</v>
      </c>
      <c r="E37" s="20">
        <v>6210.0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D38" s="20" t="s">
        <v>119</v>
      </c>
      <c r="E38" s="20" t="s">
        <v>120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20">
        <v>6024.0</v>
      </c>
      <c r="E39" s="20">
        <v>6226.0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20" t="s">
        <v>121</v>
      </c>
      <c r="E40" s="20" t="s">
        <v>122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20">
        <v>6010.0</v>
      </c>
      <c r="E41" s="20" t="s">
        <v>123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20">
        <v>6023.0</v>
      </c>
      <c r="E42" s="20" t="s">
        <v>124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20">
        <v>6004.0</v>
      </c>
      <c r="E43" s="20" t="s">
        <v>125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20">
        <v>6009.0</v>
      </c>
      <c r="E44" s="20">
        <v>9009.0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20">
        <v>6025.0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20">
        <v>63221.0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20">
        <v>9225.0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</sheetData>
  <mergeCells count="2">
    <mergeCell ref="A2:M2"/>
    <mergeCell ref="A4:M4"/>
  </mergeCells>
  <hyperlinks>
    <hyperlink r:id="rId1" ref="L1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4.25"/>
    <col customWidth="1" min="4" max="4" width="13.63"/>
  </cols>
  <sheetData>
    <row r="1">
      <c r="A1" s="22" t="s">
        <v>126</v>
      </c>
      <c r="B1" s="23" t="s">
        <v>127</v>
      </c>
      <c r="C1" s="22" t="s">
        <v>128</v>
      </c>
      <c r="D1" s="22" t="s">
        <v>129</v>
      </c>
      <c r="E1" s="22" t="s">
        <v>130</v>
      </c>
      <c r="F1" s="24" t="s">
        <v>131</v>
      </c>
      <c r="G1" s="25" t="s">
        <v>132</v>
      </c>
      <c r="H1" s="25" t="s">
        <v>133</v>
      </c>
      <c r="I1" s="25" t="s">
        <v>134</v>
      </c>
    </row>
    <row r="2">
      <c r="A2" s="26" t="s">
        <v>135</v>
      </c>
      <c r="B2" s="27" t="s">
        <v>136</v>
      </c>
      <c r="C2" s="26" t="s">
        <v>137</v>
      </c>
      <c r="D2" s="28" t="s">
        <v>138</v>
      </c>
      <c r="E2" s="26">
        <v>48.0</v>
      </c>
      <c r="F2" s="29">
        <v>439.0</v>
      </c>
      <c r="G2" s="30">
        <v>1837349.0</v>
      </c>
      <c r="H2" s="31">
        <f t="shared" ref="H2:H9" si="1">G2/F2</f>
        <v>4185.305239</v>
      </c>
      <c r="I2" s="31">
        <f t="shared" ref="I2:I6" si="2">G2/E2</f>
        <v>38278.10417</v>
      </c>
    </row>
    <row r="3">
      <c r="A3" s="32">
        <v>9009.0</v>
      </c>
      <c r="B3" s="33" t="s">
        <v>139</v>
      </c>
      <c r="C3" s="32" t="s">
        <v>140</v>
      </c>
      <c r="D3" s="32" t="s">
        <v>141</v>
      </c>
      <c r="E3" s="32">
        <v>31.0</v>
      </c>
      <c r="F3" s="34">
        <v>1999.0</v>
      </c>
      <c r="G3" s="35">
        <v>6754060.0</v>
      </c>
      <c r="H3" s="36">
        <f t="shared" si="1"/>
        <v>3378.71936</v>
      </c>
      <c r="I3" s="36">
        <f t="shared" si="2"/>
        <v>217872.9032</v>
      </c>
    </row>
    <row r="4" ht="56.25" customHeight="1">
      <c r="A4" s="32" t="s">
        <v>142</v>
      </c>
      <c r="B4" s="33" t="s">
        <v>143</v>
      </c>
      <c r="C4" s="32" t="s">
        <v>144</v>
      </c>
      <c r="D4" s="32" t="s">
        <v>145</v>
      </c>
      <c r="E4" s="32">
        <v>12.0</v>
      </c>
      <c r="F4" s="34">
        <v>531.0</v>
      </c>
      <c r="G4" s="35">
        <v>1799143.0</v>
      </c>
      <c r="H4" s="36">
        <f t="shared" si="1"/>
        <v>3388.216573</v>
      </c>
      <c r="I4" s="36">
        <f t="shared" si="2"/>
        <v>149928.5833</v>
      </c>
    </row>
    <row r="5">
      <c r="A5" s="32">
        <v>4048.0</v>
      </c>
      <c r="B5" s="37" t="s">
        <v>146</v>
      </c>
      <c r="C5" s="32" t="s">
        <v>147</v>
      </c>
      <c r="D5" s="32" t="s">
        <v>148</v>
      </c>
      <c r="E5" s="32">
        <v>20.0</v>
      </c>
      <c r="F5" s="34">
        <v>505.0</v>
      </c>
      <c r="G5" s="35">
        <v>1847443.0</v>
      </c>
      <c r="H5" s="36">
        <f t="shared" si="1"/>
        <v>3658.30297</v>
      </c>
      <c r="I5" s="36">
        <f t="shared" si="2"/>
        <v>92372.15</v>
      </c>
    </row>
    <row r="6">
      <c r="A6" s="38" t="s">
        <v>149</v>
      </c>
      <c r="B6" s="39" t="s">
        <v>150</v>
      </c>
      <c r="C6" s="40" t="s">
        <v>151</v>
      </c>
      <c r="D6" s="41" t="s">
        <v>148</v>
      </c>
      <c r="E6" s="32">
        <v>20.0</v>
      </c>
      <c r="F6" s="42">
        <v>947.0</v>
      </c>
      <c r="G6" s="43">
        <v>2884303.0</v>
      </c>
      <c r="H6" s="43">
        <f t="shared" si="1"/>
        <v>3045.726505</v>
      </c>
      <c r="I6" s="43">
        <f t="shared" si="2"/>
        <v>144215.15</v>
      </c>
    </row>
    <row r="7">
      <c r="A7" s="38" t="s">
        <v>96</v>
      </c>
      <c r="B7" s="39" t="s">
        <v>152</v>
      </c>
      <c r="C7" s="40" t="s">
        <v>153</v>
      </c>
      <c r="D7" s="41" t="s">
        <v>148</v>
      </c>
      <c r="E7" s="32">
        <v>20.0</v>
      </c>
      <c r="F7" s="42">
        <v>429.0</v>
      </c>
      <c r="G7" s="43">
        <v>1992328.0</v>
      </c>
      <c r="H7" s="43">
        <f t="shared" si="1"/>
        <v>4644.121212</v>
      </c>
      <c r="I7" s="43">
        <f>G7/F7</f>
        <v>4644.121212</v>
      </c>
    </row>
    <row r="8">
      <c r="A8" s="38" t="s">
        <v>117</v>
      </c>
      <c r="B8" s="44" t="s">
        <v>154</v>
      </c>
      <c r="C8" s="45" t="s">
        <v>155</v>
      </c>
      <c r="D8" s="41" t="s">
        <v>148</v>
      </c>
      <c r="E8" s="32">
        <v>20.0</v>
      </c>
      <c r="F8" s="42">
        <v>269.0</v>
      </c>
      <c r="G8" s="43">
        <v>2182796.0</v>
      </c>
      <c r="H8" s="43">
        <f t="shared" si="1"/>
        <v>8114.483271</v>
      </c>
      <c r="I8" s="43">
        <f t="shared" ref="I8:I9" si="3">G8/E8</f>
        <v>109139.8</v>
      </c>
    </row>
    <row r="9">
      <c r="A9" s="46" t="s">
        <v>142</v>
      </c>
      <c r="B9" s="47" t="s">
        <v>156</v>
      </c>
      <c r="C9" s="48" t="s">
        <v>157</v>
      </c>
      <c r="D9" s="46" t="s">
        <v>158</v>
      </c>
      <c r="E9" s="46">
        <v>2.0</v>
      </c>
      <c r="F9" s="46">
        <v>192.0</v>
      </c>
      <c r="G9" s="49">
        <v>732748.0</v>
      </c>
      <c r="H9" s="50">
        <f t="shared" si="1"/>
        <v>3816.395833</v>
      </c>
      <c r="I9" s="50">
        <f t="shared" si="3"/>
        <v>366374</v>
      </c>
    </row>
    <row r="10">
      <c r="A10" s="46">
        <v>9009.0</v>
      </c>
      <c r="B10" s="47" t="s">
        <v>159</v>
      </c>
      <c r="C10" s="51" t="s">
        <v>160</v>
      </c>
      <c r="D10" s="46" t="s">
        <v>161</v>
      </c>
      <c r="E10" s="46">
        <v>27.0</v>
      </c>
      <c r="F10" s="46">
        <v>2241.0</v>
      </c>
      <c r="G10" s="52"/>
      <c r="H10" s="52"/>
      <c r="I10" s="52"/>
    </row>
    <row r="11">
      <c r="A11" s="46">
        <v>9103.0</v>
      </c>
      <c r="B11" s="47" t="s">
        <v>162</v>
      </c>
      <c r="C11" s="51" t="s">
        <v>163</v>
      </c>
      <c r="D11" s="46" t="s">
        <v>164</v>
      </c>
      <c r="E11" s="46">
        <v>28.0</v>
      </c>
      <c r="F11" s="46">
        <v>1539.0</v>
      </c>
      <c r="G11" s="49">
        <v>5518782.0</v>
      </c>
      <c r="H11" s="50">
        <f t="shared" ref="H11:H14" si="4">G11/F11</f>
        <v>3585.953216</v>
      </c>
      <c r="I11" s="50">
        <f t="shared" ref="I11:I14" si="5">G11/E11</f>
        <v>197099.3571</v>
      </c>
    </row>
    <row r="12">
      <c r="A12" s="46">
        <v>9005.0</v>
      </c>
      <c r="B12" s="47" t="s">
        <v>165</v>
      </c>
      <c r="C12" s="51" t="s">
        <v>166</v>
      </c>
      <c r="D12" s="46" t="s">
        <v>164</v>
      </c>
      <c r="E12" s="46">
        <v>28.0</v>
      </c>
      <c r="F12" s="53">
        <v>669.0</v>
      </c>
      <c r="G12" s="49">
        <v>4542543.0</v>
      </c>
      <c r="H12" s="50">
        <f t="shared" si="4"/>
        <v>6790.049327</v>
      </c>
      <c r="I12" s="50">
        <f t="shared" si="5"/>
        <v>162233.6786</v>
      </c>
    </row>
    <row r="13">
      <c r="A13" s="46">
        <v>4043.0</v>
      </c>
      <c r="B13" s="47" t="s">
        <v>167</v>
      </c>
      <c r="C13" s="51" t="s">
        <v>168</v>
      </c>
      <c r="D13" s="46" t="s">
        <v>169</v>
      </c>
      <c r="E13" s="46">
        <v>28.0</v>
      </c>
      <c r="F13" s="53">
        <v>598.0</v>
      </c>
      <c r="G13" s="49">
        <v>2261170.0</v>
      </c>
      <c r="H13" s="50">
        <f t="shared" si="4"/>
        <v>3781.220736</v>
      </c>
      <c r="I13" s="50">
        <f t="shared" si="5"/>
        <v>80756.07143</v>
      </c>
    </row>
    <row r="14">
      <c r="A14" s="46" t="s">
        <v>170</v>
      </c>
      <c r="B14" s="47" t="s">
        <v>171</v>
      </c>
      <c r="C14" s="51" t="s">
        <v>172</v>
      </c>
      <c r="D14" s="46" t="s">
        <v>173</v>
      </c>
      <c r="E14" s="46">
        <v>9.0</v>
      </c>
      <c r="F14" s="53">
        <v>125.0</v>
      </c>
      <c r="G14" s="54">
        <v>588348.0</v>
      </c>
      <c r="H14" s="50">
        <f t="shared" si="4"/>
        <v>4706.784</v>
      </c>
      <c r="I14" s="50">
        <f t="shared" si="5"/>
        <v>65372</v>
      </c>
    </row>
    <row r="15">
      <c r="A15" s="55"/>
      <c r="B15" s="56"/>
      <c r="C15" s="57"/>
      <c r="D15" s="55"/>
      <c r="E15" s="55"/>
      <c r="F15" s="58"/>
      <c r="G15" s="58"/>
      <c r="H15" s="58"/>
      <c r="I15" s="58"/>
    </row>
    <row r="16">
      <c r="A16" s="59">
        <v>9214.0</v>
      </c>
      <c r="B16" s="60" t="s">
        <v>174</v>
      </c>
      <c r="C16" s="61" t="s">
        <v>175</v>
      </c>
      <c r="D16" s="59" t="s">
        <v>176</v>
      </c>
      <c r="E16" s="59">
        <v>15.0</v>
      </c>
      <c r="F16" s="62"/>
      <c r="G16" s="62"/>
      <c r="H16" s="62"/>
      <c r="I16" s="62"/>
    </row>
    <row r="17">
      <c r="A17" s="59" t="s">
        <v>86</v>
      </c>
      <c r="B17" s="60" t="s">
        <v>177</v>
      </c>
      <c r="C17" s="61" t="s">
        <v>178</v>
      </c>
      <c r="D17" s="59" t="s">
        <v>24</v>
      </c>
      <c r="E17" s="59">
        <v>31.0</v>
      </c>
      <c r="F17" s="62"/>
      <c r="G17" s="62"/>
      <c r="H17" s="62"/>
      <c r="I17" s="62"/>
    </row>
    <row r="18">
      <c r="A18" s="59" t="s">
        <v>179</v>
      </c>
      <c r="B18" s="60" t="s">
        <v>180</v>
      </c>
      <c r="C18" s="61" t="s">
        <v>181</v>
      </c>
      <c r="D18" s="59" t="s">
        <v>24</v>
      </c>
      <c r="E18" s="59">
        <v>31.0</v>
      </c>
      <c r="F18" s="62"/>
      <c r="G18" s="62"/>
      <c r="H18" s="62"/>
      <c r="I18" s="62"/>
    </row>
    <row r="19">
      <c r="A19" s="59" t="s">
        <v>182</v>
      </c>
      <c r="B19" s="60" t="s">
        <v>183</v>
      </c>
      <c r="C19" s="61" t="s">
        <v>184</v>
      </c>
      <c r="D19" s="59" t="s">
        <v>24</v>
      </c>
      <c r="E19" s="59">
        <v>31.0</v>
      </c>
      <c r="F19" s="62"/>
      <c r="G19" s="62"/>
      <c r="H19" s="62"/>
      <c r="I19" s="62"/>
    </row>
    <row r="20">
      <c r="A20" s="59" t="s">
        <v>185</v>
      </c>
      <c r="B20" s="60" t="s">
        <v>186</v>
      </c>
      <c r="C20" s="61" t="s">
        <v>187</v>
      </c>
      <c r="D20" s="59" t="s">
        <v>24</v>
      </c>
      <c r="E20" s="59">
        <v>31.0</v>
      </c>
      <c r="F20" s="62"/>
      <c r="G20" s="62"/>
      <c r="H20" s="62"/>
      <c r="I20" s="62"/>
    </row>
    <row r="21">
      <c r="A21" s="59">
        <v>4030.0</v>
      </c>
      <c r="B21" s="60" t="s">
        <v>188</v>
      </c>
      <c r="C21" s="61" t="s">
        <v>147</v>
      </c>
      <c r="D21" s="59" t="s">
        <v>24</v>
      </c>
      <c r="E21" s="59">
        <v>31.0</v>
      </c>
      <c r="F21" s="62"/>
      <c r="G21" s="62"/>
      <c r="H21" s="62"/>
      <c r="I21" s="62"/>
    </row>
    <row r="22">
      <c r="A22" s="58"/>
      <c r="B22" s="56"/>
      <c r="C22" s="17"/>
      <c r="D22" s="58"/>
      <c r="E22" s="58"/>
      <c r="F22" s="58"/>
      <c r="G22" s="58"/>
      <c r="H22" s="58"/>
      <c r="I22" s="58"/>
    </row>
    <row r="23">
      <c r="A23" s="58"/>
      <c r="B23" s="56"/>
      <c r="C23" s="17"/>
      <c r="D23" s="58"/>
      <c r="E23" s="58"/>
      <c r="F23" s="58"/>
      <c r="G23" s="58"/>
      <c r="H23" s="58"/>
      <c r="I23" s="58"/>
    </row>
    <row r="24">
      <c r="A24" s="58"/>
      <c r="B24" s="56"/>
      <c r="C24" s="17"/>
      <c r="D24" s="58"/>
      <c r="E24" s="58"/>
      <c r="F24" s="58"/>
      <c r="G24" s="58"/>
      <c r="H24" s="58"/>
      <c r="I24" s="58"/>
    </row>
    <row r="25">
      <c r="A25" s="58"/>
      <c r="B25" s="56"/>
      <c r="C25" s="17"/>
      <c r="D25" s="58"/>
      <c r="E25" s="58"/>
      <c r="F25" s="58"/>
      <c r="G25" s="58"/>
      <c r="H25" s="58"/>
      <c r="I25" s="58"/>
    </row>
    <row r="26">
      <c r="A26" s="58"/>
      <c r="B26" s="56"/>
      <c r="C26" s="17"/>
      <c r="D26" s="58"/>
      <c r="E26" s="58"/>
      <c r="F26" s="58"/>
      <c r="G26" s="58"/>
      <c r="H26" s="58"/>
      <c r="I26" s="58"/>
    </row>
    <row r="27">
      <c r="A27" s="58"/>
      <c r="B27" s="56"/>
      <c r="C27" s="17"/>
      <c r="D27" s="58"/>
      <c r="E27" s="58"/>
      <c r="F27" s="58"/>
      <c r="G27" s="58"/>
      <c r="H27" s="58"/>
      <c r="I27" s="58"/>
    </row>
    <row r="28">
      <c r="A28" s="58"/>
      <c r="B28" s="56"/>
      <c r="C28" s="17"/>
      <c r="D28" s="58"/>
      <c r="E28" s="58"/>
      <c r="F28" s="58"/>
      <c r="G28" s="58"/>
      <c r="H28" s="58"/>
      <c r="I28" s="58"/>
    </row>
    <row r="29">
      <c r="A29" s="58"/>
      <c r="B29" s="56"/>
      <c r="C29" s="17"/>
      <c r="D29" s="58"/>
      <c r="E29" s="58"/>
      <c r="F29" s="58"/>
      <c r="G29" s="58"/>
      <c r="H29" s="58"/>
      <c r="I29" s="58"/>
    </row>
    <row r="30">
      <c r="A30" s="58"/>
      <c r="B30" s="56"/>
      <c r="C30" s="17"/>
      <c r="D30" s="58"/>
      <c r="E30" s="58"/>
      <c r="F30" s="58"/>
      <c r="G30" s="58"/>
      <c r="H30" s="58"/>
      <c r="I30" s="58"/>
    </row>
    <row r="31">
      <c r="A31" s="58"/>
      <c r="B31" s="56"/>
      <c r="C31" s="17"/>
      <c r="D31" s="58"/>
      <c r="E31" s="58"/>
      <c r="F31" s="58"/>
      <c r="G31" s="58"/>
      <c r="H31" s="58"/>
      <c r="I31" s="58"/>
    </row>
    <row r="32">
      <c r="B32" s="63"/>
    </row>
    <row r="33">
      <c r="B33" s="63"/>
    </row>
    <row r="34">
      <c r="B34" s="63"/>
    </row>
    <row r="35">
      <c r="B35" s="63"/>
    </row>
    <row r="36">
      <c r="B36" s="63"/>
    </row>
    <row r="37">
      <c r="B37" s="63"/>
    </row>
    <row r="38">
      <c r="B38" s="63"/>
    </row>
    <row r="39">
      <c r="B39" s="63"/>
    </row>
    <row r="40">
      <c r="B40" s="63"/>
    </row>
    <row r="41">
      <c r="B41" s="63"/>
    </row>
    <row r="42">
      <c r="B42" s="63"/>
    </row>
    <row r="43">
      <c r="B43" s="63"/>
    </row>
    <row r="44">
      <c r="B44" s="63"/>
    </row>
    <row r="45">
      <c r="B45" s="63"/>
    </row>
    <row r="46">
      <c r="B46" s="63"/>
    </row>
    <row r="47">
      <c r="B47" s="63"/>
    </row>
    <row r="48">
      <c r="B48" s="63"/>
    </row>
    <row r="49">
      <c r="B49" s="63"/>
    </row>
    <row r="50">
      <c r="B50" s="63"/>
    </row>
    <row r="51">
      <c r="B51" s="63"/>
    </row>
    <row r="52">
      <c r="B52" s="63"/>
    </row>
    <row r="53">
      <c r="B53" s="63"/>
    </row>
    <row r="54">
      <c r="B54" s="63"/>
    </row>
    <row r="55">
      <c r="B55" s="63"/>
    </row>
    <row r="56">
      <c r="B56" s="63"/>
    </row>
    <row r="57">
      <c r="B57" s="63"/>
    </row>
    <row r="58">
      <c r="B58" s="63"/>
    </row>
    <row r="59">
      <c r="B59" s="63"/>
    </row>
    <row r="60">
      <c r="B60" s="63"/>
    </row>
    <row r="61">
      <c r="B61" s="63"/>
    </row>
    <row r="62">
      <c r="B62" s="63"/>
    </row>
    <row r="63">
      <c r="B63" s="63"/>
    </row>
    <row r="64">
      <c r="B64" s="63"/>
    </row>
    <row r="65">
      <c r="B65" s="63"/>
    </row>
    <row r="66">
      <c r="B66" s="63"/>
    </row>
    <row r="67">
      <c r="B67" s="63"/>
    </row>
    <row r="68">
      <c r="B68" s="63"/>
    </row>
    <row r="69">
      <c r="B69" s="63"/>
    </row>
    <row r="70">
      <c r="B70" s="63"/>
    </row>
    <row r="71">
      <c r="B71" s="63"/>
    </row>
    <row r="72">
      <c r="B72" s="63"/>
    </row>
    <row r="73">
      <c r="B73" s="63"/>
    </row>
    <row r="74">
      <c r="B74" s="63"/>
    </row>
    <row r="75">
      <c r="B75" s="63"/>
    </row>
    <row r="76">
      <c r="B76" s="63"/>
    </row>
    <row r="77">
      <c r="B77" s="63"/>
    </row>
    <row r="78">
      <c r="B78" s="63"/>
    </row>
    <row r="79">
      <c r="B79" s="63"/>
    </row>
    <row r="80">
      <c r="B80" s="63"/>
    </row>
    <row r="81">
      <c r="B81" s="63"/>
    </row>
    <row r="82">
      <c r="B82" s="63"/>
    </row>
    <row r="83">
      <c r="B83" s="63"/>
    </row>
    <row r="84">
      <c r="B84" s="63"/>
    </row>
    <row r="85">
      <c r="B85" s="63"/>
    </row>
    <row r="86">
      <c r="B86" s="63"/>
    </row>
    <row r="87">
      <c r="B87" s="63"/>
    </row>
    <row r="88">
      <c r="B88" s="63"/>
    </row>
    <row r="89">
      <c r="B89" s="63"/>
    </row>
    <row r="90">
      <c r="B90" s="63"/>
    </row>
    <row r="91">
      <c r="B91" s="63"/>
    </row>
    <row r="92">
      <c r="B92" s="63"/>
    </row>
    <row r="93">
      <c r="B93" s="63"/>
    </row>
    <row r="94">
      <c r="B94" s="63"/>
    </row>
    <row r="95">
      <c r="B95" s="63"/>
    </row>
    <row r="96">
      <c r="B96" s="63"/>
    </row>
    <row r="97">
      <c r="B97" s="63"/>
    </row>
    <row r="98">
      <c r="B98" s="63"/>
    </row>
    <row r="99">
      <c r="B99" s="63"/>
    </row>
    <row r="100">
      <c r="B100" s="63"/>
    </row>
    <row r="101">
      <c r="B101" s="63"/>
    </row>
    <row r="102">
      <c r="B102" s="63"/>
    </row>
    <row r="103">
      <c r="B103" s="63"/>
    </row>
    <row r="104">
      <c r="B104" s="63"/>
    </row>
    <row r="105">
      <c r="B105" s="63"/>
    </row>
    <row r="106">
      <c r="B106" s="63"/>
    </row>
    <row r="107">
      <c r="B107" s="63"/>
    </row>
    <row r="108">
      <c r="B108" s="63"/>
    </row>
    <row r="109">
      <c r="B109" s="63"/>
    </row>
    <row r="110">
      <c r="B110" s="63"/>
    </row>
    <row r="111">
      <c r="B111" s="63"/>
    </row>
    <row r="112">
      <c r="B112" s="63"/>
    </row>
    <row r="113">
      <c r="B113" s="63"/>
    </row>
    <row r="114">
      <c r="B114" s="63"/>
    </row>
    <row r="115">
      <c r="B115" s="63"/>
    </row>
    <row r="116">
      <c r="B116" s="63"/>
    </row>
    <row r="117">
      <c r="B117" s="63"/>
    </row>
    <row r="118">
      <c r="B118" s="63"/>
    </row>
    <row r="119">
      <c r="B119" s="63"/>
    </row>
    <row r="120">
      <c r="B120" s="63"/>
    </row>
    <row r="121">
      <c r="B121" s="63"/>
    </row>
    <row r="122">
      <c r="B122" s="63"/>
    </row>
    <row r="123">
      <c r="B123" s="63"/>
    </row>
    <row r="124">
      <c r="B124" s="63"/>
    </row>
    <row r="125">
      <c r="B125" s="63"/>
    </row>
    <row r="126">
      <c r="B126" s="63"/>
    </row>
    <row r="127">
      <c r="B127" s="63"/>
    </row>
    <row r="128">
      <c r="B128" s="63"/>
    </row>
    <row r="129">
      <c r="B129" s="63"/>
    </row>
    <row r="130">
      <c r="B130" s="63"/>
    </row>
    <row r="131">
      <c r="B131" s="63"/>
    </row>
    <row r="132">
      <c r="B132" s="63"/>
    </row>
    <row r="133">
      <c r="B133" s="63"/>
    </row>
    <row r="134">
      <c r="B134" s="63"/>
    </row>
    <row r="135">
      <c r="B135" s="63"/>
    </row>
    <row r="136">
      <c r="B136" s="63"/>
    </row>
    <row r="137">
      <c r="B137" s="63"/>
    </row>
    <row r="138">
      <c r="B138" s="63"/>
    </row>
    <row r="139">
      <c r="B139" s="63"/>
    </row>
    <row r="140">
      <c r="B140" s="63"/>
    </row>
    <row r="141">
      <c r="B141" s="63"/>
    </row>
    <row r="142">
      <c r="B142" s="63"/>
    </row>
    <row r="143">
      <c r="B143" s="63"/>
    </row>
    <row r="144">
      <c r="B144" s="63"/>
    </row>
    <row r="145">
      <c r="B145" s="63"/>
    </row>
    <row r="146">
      <c r="B146" s="63"/>
    </row>
    <row r="147">
      <c r="B147" s="63"/>
    </row>
    <row r="148">
      <c r="B148" s="63"/>
    </row>
    <row r="149">
      <c r="B149" s="63"/>
    </row>
    <row r="150">
      <c r="B150" s="63"/>
    </row>
    <row r="151">
      <c r="B151" s="63"/>
    </row>
    <row r="152">
      <c r="B152" s="63"/>
    </row>
    <row r="153">
      <c r="B153" s="63"/>
    </row>
    <row r="154">
      <c r="B154" s="63"/>
    </row>
    <row r="155">
      <c r="B155" s="63"/>
    </row>
    <row r="156">
      <c r="B156" s="63"/>
    </row>
    <row r="157">
      <c r="B157" s="63"/>
    </row>
    <row r="158">
      <c r="B158" s="63"/>
    </row>
    <row r="159">
      <c r="B159" s="63"/>
    </row>
    <row r="160">
      <c r="B160" s="63"/>
    </row>
    <row r="161">
      <c r="B161" s="63"/>
    </row>
    <row r="162">
      <c r="B162" s="63"/>
    </row>
    <row r="163">
      <c r="B163" s="63"/>
    </row>
    <row r="164">
      <c r="B164" s="63"/>
    </row>
    <row r="165">
      <c r="B165" s="63"/>
    </row>
    <row r="166">
      <c r="B166" s="63"/>
    </row>
    <row r="167">
      <c r="B167" s="63"/>
    </row>
    <row r="168">
      <c r="B168" s="63"/>
    </row>
    <row r="169">
      <c r="B169" s="63"/>
    </row>
    <row r="170">
      <c r="B170" s="63"/>
    </row>
    <row r="171">
      <c r="B171" s="63"/>
    </row>
    <row r="172">
      <c r="B172" s="63"/>
    </row>
    <row r="173">
      <c r="B173" s="63"/>
    </row>
    <row r="174">
      <c r="B174" s="63"/>
    </row>
    <row r="175">
      <c r="B175" s="63"/>
    </row>
    <row r="176">
      <c r="B176" s="63"/>
    </row>
    <row r="177">
      <c r="B177" s="63"/>
    </row>
    <row r="178">
      <c r="B178" s="63"/>
    </row>
    <row r="179">
      <c r="B179" s="63"/>
    </row>
    <row r="180">
      <c r="B180" s="63"/>
    </row>
    <row r="181">
      <c r="B181" s="63"/>
    </row>
    <row r="182">
      <c r="B182" s="63"/>
    </row>
    <row r="183">
      <c r="B183" s="63"/>
    </row>
    <row r="184">
      <c r="B184" s="63"/>
    </row>
    <row r="185">
      <c r="B185" s="63"/>
    </row>
    <row r="186">
      <c r="B186" s="63"/>
    </row>
    <row r="187">
      <c r="B187" s="63"/>
    </row>
    <row r="188">
      <c r="B188" s="63"/>
    </row>
    <row r="189">
      <c r="B189" s="63"/>
    </row>
    <row r="190">
      <c r="B190" s="63"/>
    </row>
    <row r="191">
      <c r="B191" s="63"/>
    </row>
    <row r="192">
      <c r="B192" s="63"/>
    </row>
    <row r="193">
      <c r="B193" s="63"/>
    </row>
    <row r="194">
      <c r="B194" s="63"/>
    </row>
    <row r="195">
      <c r="B195" s="63"/>
    </row>
    <row r="196">
      <c r="B196" s="63"/>
    </row>
    <row r="197">
      <c r="B197" s="63"/>
    </row>
    <row r="198">
      <c r="B198" s="63"/>
    </row>
    <row r="199">
      <c r="B199" s="63"/>
    </row>
    <row r="200">
      <c r="B200" s="63"/>
    </row>
    <row r="201">
      <c r="B201" s="63"/>
    </row>
    <row r="202">
      <c r="B202" s="63"/>
    </row>
    <row r="203">
      <c r="B203" s="63"/>
    </row>
    <row r="204">
      <c r="B204" s="63"/>
    </row>
    <row r="205">
      <c r="B205" s="63"/>
    </row>
    <row r="206">
      <c r="B206" s="63"/>
    </row>
    <row r="207">
      <c r="B207" s="63"/>
    </row>
    <row r="208">
      <c r="B208" s="63"/>
    </row>
    <row r="209">
      <c r="B209" s="63"/>
    </row>
    <row r="210">
      <c r="B210" s="63"/>
    </row>
    <row r="211">
      <c r="B211" s="63"/>
    </row>
    <row r="212">
      <c r="B212" s="63"/>
    </row>
    <row r="213">
      <c r="B213" s="63"/>
    </row>
    <row r="214">
      <c r="B214" s="63"/>
    </row>
    <row r="215">
      <c r="B215" s="63"/>
    </row>
    <row r="216">
      <c r="B216" s="63"/>
    </row>
    <row r="217">
      <c r="B217" s="63"/>
    </row>
    <row r="218">
      <c r="B218" s="63"/>
    </row>
    <row r="219">
      <c r="B219" s="63"/>
    </row>
    <row r="220">
      <c r="B220" s="63"/>
    </row>
    <row r="221">
      <c r="B221" s="63"/>
    </row>
    <row r="222">
      <c r="B222" s="63"/>
    </row>
    <row r="223">
      <c r="B223" s="63"/>
    </row>
    <row r="224">
      <c r="B224" s="63"/>
    </row>
    <row r="225">
      <c r="B225" s="63"/>
    </row>
    <row r="226">
      <c r="B226" s="63"/>
    </row>
    <row r="227">
      <c r="B227" s="63"/>
    </row>
    <row r="228">
      <c r="B228" s="63"/>
    </row>
    <row r="229">
      <c r="B229" s="63"/>
    </row>
    <row r="230">
      <c r="B230" s="63"/>
    </row>
    <row r="231">
      <c r="B231" s="63"/>
    </row>
    <row r="232">
      <c r="B232" s="63"/>
    </row>
    <row r="233">
      <c r="B233" s="63"/>
    </row>
    <row r="234">
      <c r="B234" s="63"/>
    </row>
    <row r="235">
      <c r="B235" s="63"/>
    </row>
    <row r="236">
      <c r="B236" s="63"/>
    </row>
    <row r="237">
      <c r="B237" s="63"/>
    </row>
    <row r="238">
      <c r="B238" s="63"/>
    </row>
    <row r="239">
      <c r="B239" s="63"/>
    </row>
    <row r="240">
      <c r="B240" s="63"/>
    </row>
    <row r="241">
      <c r="B241" s="63"/>
    </row>
    <row r="242">
      <c r="B242" s="63"/>
    </row>
    <row r="243">
      <c r="B243" s="63"/>
    </row>
    <row r="244">
      <c r="B244" s="63"/>
    </row>
    <row r="245">
      <c r="B245" s="63"/>
    </row>
    <row r="246">
      <c r="B246" s="63"/>
    </row>
    <row r="247">
      <c r="B247" s="63"/>
    </row>
    <row r="248">
      <c r="B248" s="63"/>
    </row>
    <row r="249">
      <c r="B249" s="63"/>
    </row>
    <row r="250">
      <c r="B250" s="63"/>
    </row>
    <row r="251">
      <c r="B251" s="63"/>
    </row>
    <row r="252">
      <c r="B252" s="63"/>
    </row>
    <row r="253">
      <c r="B253" s="63"/>
    </row>
    <row r="254">
      <c r="B254" s="63"/>
    </row>
    <row r="255">
      <c r="B255" s="63"/>
    </row>
    <row r="256">
      <c r="B256" s="63"/>
    </row>
    <row r="257">
      <c r="B257" s="63"/>
    </row>
    <row r="258">
      <c r="B258" s="63"/>
    </row>
    <row r="259">
      <c r="B259" s="63"/>
    </row>
    <row r="260">
      <c r="B260" s="63"/>
    </row>
    <row r="261">
      <c r="B261" s="63"/>
    </row>
    <row r="262">
      <c r="B262" s="63"/>
    </row>
    <row r="263">
      <c r="B263" s="63"/>
    </row>
    <row r="264">
      <c r="B264" s="63"/>
    </row>
    <row r="265">
      <c r="B265" s="63"/>
    </row>
    <row r="266">
      <c r="B266" s="63"/>
    </row>
    <row r="267">
      <c r="B267" s="63"/>
    </row>
    <row r="268">
      <c r="B268" s="63"/>
    </row>
    <row r="269">
      <c r="B269" s="63"/>
    </row>
    <row r="270">
      <c r="B270" s="63"/>
    </row>
    <row r="271">
      <c r="B271" s="63"/>
    </row>
    <row r="272">
      <c r="B272" s="63"/>
    </row>
    <row r="273">
      <c r="B273" s="63"/>
    </row>
    <row r="274">
      <c r="B274" s="63"/>
    </row>
    <row r="275">
      <c r="B275" s="63"/>
    </row>
    <row r="276">
      <c r="B276" s="63"/>
    </row>
    <row r="277">
      <c r="B277" s="63"/>
    </row>
    <row r="278">
      <c r="B278" s="63"/>
    </row>
    <row r="279">
      <c r="B279" s="63"/>
    </row>
    <row r="280">
      <c r="B280" s="63"/>
    </row>
    <row r="281">
      <c r="B281" s="63"/>
    </row>
    <row r="282">
      <c r="B282" s="63"/>
    </row>
    <row r="283">
      <c r="B283" s="63"/>
    </row>
    <row r="284">
      <c r="B284" s="63"/>
    </row>
    <row r="285">
      <c r="B285" s="63"/>
    </row>
    <row r="286">
      <c r="B286" s="63"/>
    </row>
    <row r="287">
      <c r="B287" s="63"/>
    </row>
    <row r="288">
      <c r="B288" s="63"/>
    </row>
    <row r="289">
      <c r="B289" s="63"/>
    </row>
    <row r="290">
      <c r="B290" s="63"/>
    </row>
    <row r="291">
      <c r="B291" s="63"/>
    </row>
    <row r="292">
      <c r="B292" s="63"/>
    </row>
    <row r="293">
      <c r="B293" s="63"/>
    </row>
    <row r="294">
      <c r="B294" s="63"/>
    </row>
    <row r="295">
      <c r="B295" s="63"/>
    </row>
    <row r="296">
      <c r="B296" s="63"/>
    </row>
    <row r="297">
      <c r="B297" s="63"/>
    </row>
    <row r="298">
      <c r="B298" s="63"/>
    </row>
    <row r="299">
      <c r="B299" s="63"/>
    </row>
    <row r="300">
      <c r="B300" s="63"/>
    </row>
    <row r="301">
      <c r="B301" s="63"/>
    </row>
    <row r="302">
      <c r="B302" s="63"/>
    </row>
    <row r="303">
      <c r="B303" s="63"/>
    </row>
    <row r="304">
      <c r="B304" s="63"/>
    </row>
    <row r="305">
      <c r="B305" s="63"/>
    </row>
    <row r="306">
      <c r="B306" s="63"/>
    </row>
    <row r="307">
      <c r="B307" s="63"/>
    </row>
    <row r="308">
      <c r="B308" s="63"/>
    </row>
    <row r="309">
      <c r="B309" s="63"/>
    </row>
    <row r="310">
      <c r="B310" s="63"/>
    </row>
    <row r="311">
      <c r="B311" s="63"/>
    </row>
    <row r="312">
      <c r="B312" s="63"/>
    </row>
    <row r="313">
      <c r="B313" s="63"/>
    </row>
    <row r="314">
      <c r="B314" s="63"/>
    </row>
    <row r="315">
      <c r="B315" s="63"/>
    </row>
    <row r="316">
      <c r="B316" s="63"/>
    </row>
    <row r="317">
      <c r="B317" s="63"/>
    </row>
    <row r="318">
      <c r="B318" s="63"/>
    </row>
    <row r="319">
      <c r="B319" s="63"/>
    </row>
    <row r="320">
      <c r="B320" s="63"/>
    </row>
    <row r="321">
      <c r="B321" s="63"/>
    </row>
    <row r="322">
      <c r="B322" s="63"/>
    </row>
    <row r="323">
      <c r="B323" s="63"/>
    </row>
    <row r="324">
      <c r="B324" s="63"/>
    </row>
    <row r="325">
      <c r="B325" s="63"/>
    </row>
    <row r="326">
      <c r="B326" s="63"/>
    </row>
    <row r="327">
      <c r="B327" s="63"/>
    </row>
    <row r="328">
      <c r="B328" s="63"/>
    </row>
    <row r="329">
      <c r="B329" s="63"/>
    </row>
    <row r="330">
      <c r="B330" s="63"/>
    </row>
    <row r="331">
      <c r="B331" s="63"/>
    </row>
    <row r="332">
      <c r="B332" s="63"/>
    </row>
    <row r="333">
      <c r="B333" s="63"/>
    </row>
    <row r="334">
      <c r="B334" s="63"/>
    </row>
    <row r="335">
      <c r="B335" s="63"/>
    </row>
    <row r="336">
      <c r="B336" s="63"/>
    </row>
    <row r="337">
      <c r="B337" s="63"/>
    </row>
    <row r="338">
      <c r="B338" s="63"/>
    </row>
    <row r="339">
      <c r="B339" s="63"/>
    </row>
    <row r="340">
      <c r="B340" s="63"/>
    </row>
    <row r="341">
      <c r="B341" s="63"/>
    </row>
    <row r="342">
      <c r="B342" s="63"/>
    </row>
    <row r="343">
      <c r="B343" s="63"/>
    </row>
    <row r="344">
      <c r="B344" s="63"/>
    </row>
    <row r="345">
      <c r="B345" s="63"/>
    </row>
    <row r="346">
      <c r="B346" s="63"/>
    </row>
    <row r="347">
      <c r="B347" s="63"/>
    </row>
    <row r="348">
      <c r="B348" s="63"/>
    </row>
    <row r="349">
      <c r="B349" s="63"/>
    </row>
    <row r="350">
      <c r="B350" s="63"/>
    </row>
    <row r="351">
      <c r="B351" s="63"/>
    </row>
    <row r="352">
      <c r="B352" s="63"/>
    </row>
    <row r="353">
      <c r="B353" s="63"/>
    </row>
    <row r="354">
      <c r="B354" s="63"/>
    </row>
    <row r="355">
      <c r="B355" s="63"/>
    </row>
    <row r="356">
      <c r="B356" s="63"/>
    </row>
    <row r="357">
      <c r="B357" s="63"/>
    </row>
    <row r="358">
      <c r="B358" s="63"/>
    </row>
    <row r="359">
      <c r="B359" s="63"/>
    </row>
    <row r="360">
      <c r="B360" s="63"/>
    </row>
    <row r="361">
      <c r="B361" s="63"/>
    </row>
    <row r="362">
      <c r="B362" s="63"/>
    </row>
    <row r="363">
      <c r="B363" s="63"/>
    </row>
    <row r="364">
      <c r="B364" s="63"/>
    </row>
    <row r="365">
      <c r="B365" s="63"/>
    </row>
    <row r="366">
      <c r="B366" s="63"/>
    </row>
    <row r="367">
      <c r="B367" s="63"/>
    </row>
    <row r="368">
      <c r="B368" s="63"/>
    </row>
    <row r="369">
      <c r="B369" s="63"/>
    </row>
    <row r="370">
      <c r="B370" s="63"/>
    </row>
    <row r="371">
      <c r="B371" s="63"/>
    </row>
    <row r="372">
      <c r="B372" s="63"/>
    </row>
    <row r="373">
      <c r="B373" s="63"/>
    </row>
    <row r="374">
      <c r="B374" s="63"/>
    </row>
    <row r="375">
      <c r="B375" s="63"/>
    </row>
    <row r="376">
      <c r="B376" s="63"/>
    </row>
    <row r="377">
      <c r="B377" s="63"/>
    </row>
    <row r="378">
      <c r="B378" s="63"/>
    </row>
    <row r="379">
      <c r="B379" s="63"/>
    </row>
    <row r="380">
      <c r="B380" s="63"/>
    </row>
    <row r="381">
      <c r="B381" s="63"/>
    </row>
    <row r="382">
      <c r="B382" s="63"/>
    </row>
    <row r="383">
      <c r="B383" s="63"/>
    </row>
    <row r="384">
      <c r="B384" s="63"/>
    </row>
    <row r="385">
      <c r="B385" s="63"/>
    </row>
    <row r="386">
      <c r="B386" s="63"/>
    </row>
    <row r="387">
      <c r="B387" s="63"/>
    </row>
    <row r="388">
      <c r="B388" s="63"/>
    </row>
    <row r="389">
      <c r="B389" s="63"/>
    </row>
    <row r="390">
      <c r="B390" s="63"/>
    </row>
    <row r="391">
      <c r="B391" s="63"/>
    </row>
    <row r="392">
      <c r="B392" s="63"/>
    </row>
    <row r="393">
      <c r="B393" s="63"/>
    </row>
    <row r="394">
      <c r="B394" s="63"/>
    </row>
    <row r="395">
      <c r="B395" s="63"/>
    </row>
    <row r="396">
      <c r="B396" s="63"/>
    </row>
    <row r="397">
      <c r="B397" s="63"/>
    </row>
    <row r="398">
      <c r="B398" s="63"/>
    </row>
    <row r="399">
      <c r="B399" s="63"/>
    </row>
    <row r="400">
      <c r="B400" s="63"/>
    </row>
    <row r="401">
      <c r="B401" s="63"/>
    </row>
    <row r="402">
      <c r="B402" s="63"/>
    </row>
    <row r="403">
      <c r="B403" s="63"/>
    </row>
    <row r="404">
      <c r="B404" s="63"/>
    </row>
    <row r="405">
      <c r="B405" s="63"/>
    </row>
    <row r="406">
      <c r="B406" s="63"/>
    </row>
    <row r="407">
      <c r="B407" s="63"/>
    </row>
    <row r="408">
      <c r="B408" s="63"/>
    </row>
    <row r="409">
      <c r="B409" s="63"/>
    </row>
    <row r="410">
      <c r="B410" s="63"/>
    </row>
    <row r="411">
      <c r="B411" s="63"/>
    </row>
    <row r="412">
      <c r="B412" s="63"/>
    </row>
    <row r="413">
      <c r="B413" s="63"/>
    </row>
    <row r="414">
      <c r="B414" s="63"/>
    </row>
    <row r="415">
      <c r="B415" s="63"/>
    </row>
    <row r="416">
      <c r="B416" s="63"/>
    </row>
    <row r="417">
      <c r="B417" s="63"/>
    </row>
    <row r="418">
      <c r="B418" s="63"/>
    </row>
    <row r="419">
      <c r="B419" s="63"/>
    </row>
    <row r="420">
      <c r="B420" s="63"/>
    </row>
    <row r="421">
      <c r="B421" s="63"/>
    </row>
    <row r="422">
      <c r="B422" s="63"/>
    </row>
    <row r="423">
      <c r="B423" s="63"/>
    </row>
    <row r="424">
      <c r="B424" s="63"/>
    </row>
    <row r="425">
      <c r="B425" s="63"/>
    </row>
    <row r="426">
      <c r="B426" s="63"/>
    </row>
    <row r="427">
      <c r="B427" s="63"/>
    </row>
    <row r="428">
      <c r="B428" s="63"/>
    </row>
    <row r="429">
      <c r="B429" s="63"/>
    </row>
    <row r="430">
      <c r="B430" s="63"/>
    </row>
    <row r="431">
      <c r="B431" s="63"/>
    </row>
    <row r="432">
      <c r="B432" s="63"/>
    </row>
    <row r="433">
      <c r="B433" s="63"/>
    </row>
    <row r="434">
      <c r="B434" s="63"/>
    </row>
    <row r="435">
      <c r="B435" s="63"/>
    </row>
    <row r="436">
      <c r="B436" s="63"/>
    </row>
    <row r="437">
      <c r="B437" s="63"/>
    </row>
    <row r="438">
      <c r="B438" s="63"/>
    </row>
    <row r="439">
      <c r="B439" s="63"/>
    </row>
    <row r="440">
      <c r="B440" s="63"/>
    </row>
    <row r="441">
      <c r="B441" s="63"/>
    </row>
    <row r="442">
      <c r="B442" s="63"/>
    </row>
    <row r="443">
      <c r="B443" s="63"/>
    </row>
    <row r="444">
      <c r="B444" s="63"/>
    </row>
    <row r="445">
      <c r="B445" s="63"/>
    </row>
    <row r="446">
      <c r="B446" s="63"/>
    </row>
    <row r="447">
      <c r="B447" s="63"/>
    </row>
    <row r="448">
      <c r="B448" s="63"/>
    </row>
    <row r="449">
      <c r="B449" s="63"/>
    </row>
    <row r="450">
      <c r="B450" s="63"/>
    </row>
    <row r="451">
      <c r="B451" s="63"/>
    </row>
    <row r="452">
      <c r="B452" s="63"/>
    </row>
    <row r="453">
      <c r="B453" s="63"/>
    </row>
    <row r="454">
      <c r="B454" s="63"/>
    </row>
    <row r="455">
      <c r="B455" s="63"/>
    </row>
    <row r="456">
      <c r="B456" s="63"/>
    </row>
    <row r="457">
      <c r="B457" s="63"/>
    </row>
    <row r="458">
      <c r="B458" s="63"/>
    </row>
    <row r="459">
      <c r="B459" s="63"/>
    </row>
    <row r="460">
      <c r="B460" s="63"/>
    </row>
    <row r="461">
      <c r="B461" s="63"/>
    </row>
    <row r="462">
      <c r="B462" s="63"/>
    </row>
    <row r="463">
      <c r="B463" s="63"/>
    </row>
    <row r="464">
      <c r="B464" s="63"/>
    </row>
    <row r="465">
      <c r="B465" s="63"/>
    </row>
    <row r="466">
      <c r="B466" s="63"/>
    </row>
    <row r="467">
      <c r="B467" s="63"/>
    </row>
    <row r="468">
      <c r="B468" s="63"/>
    </row>
    <row r="469">
      <c r="B469" s="63"/>
    </row>
    <row r="470">
      <c r="B470" s="63"/>
    </row>
    <row r="471">
      <c r="B471" s="63"/>
    </row>
    <row r="472">
      <c r="B472" s="63"/>
    </row>
    <row r="473">
      <c r="B473" s="63"/>
    </row>
    <row r="474">
      <c r="B474" s="63"/>
    </row>
    <row r="475">
      <c r="B475" s="63"/>
    </row>
    <row r="476">
      <c r="B476" s="63"/>
    </row>
    <row r="477">
      <c r="B477" s="63"/>
    </row>
    <row r="478">
      <c r="B478" s="63"/>
    </row>
    <row r="479">
      <c r="B479" s="63"/>
    </row>
    <row r="480">
      <c r="B480" s="63"/>
    </row>
    <row r="481">
      <c r="B481" s="63"/>
    </row>
    <row r="482">
      <c r="B482" s="63"/>
    </row>
    <row r="483">
      <c r="B483" s="63"/>
    </row>
    <row r="484">
      <c r="B484" s="63"/>
    </row>
    <row r="485">
      <c r="B485" s="63"/>
    </row>
    <row r="486">
      <c r="B486" s="63"/>
    </row>
    <row r="487">
      <c r="B487" s="63"/>
    </row>
    <row r="488">
      <c r="B488" s="63"/>
    </row>
    <row r="489">
      <c r="B489" s="63"/>
    </row>
    <row r="490">
      <c r="B490" s="63"/>
    </row>
    <row r="491">
      <c r="B491" s="63"/>
    </row>
    <row r="492">
      <c r="B492" s="63"/>
    </row>
    <row r="493">
      <c r="B493" s="63"/>
    </row>
    <row r="494">
      <c r="B494" s="63"/>
    </row>
    <row r="495">
      <c r="B495" s="63"/>
    </row>
    <row r="496">
      <c r="B496" s="63"/>
    </row>
    <row r="497">
      <c r="B497" s="63"/>
    </row>
    <row r="498">
      <c r="B498" s="63"/>
    </row>
    <row r="499">
      <c r="B499" s="63"/>
    </row>
    <row r="500">
      <c r="B500" s="63"/>
    </row>
    <row r="501">
      <c r="B501" s="63"/>
    </row>
    <row r="502">
      <c r="B502" s="63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  <row r="999">
      <c r="B999" s="63"/>
    </row>
    <row r="1000">
      <c r="B1000" s="6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8.25"/>
    <col customWidth="1" min="3" max="3" width="23.63"/>
    <col customWidth="1" min="4" max="4" width="21.25"/>
    <col customWidth="1" min="8" max="8" width="17.25"/>
    <col customWidth="1" min="9" max="9" width="14.88"/>
  </cols>
  <sheetData>
    <row r="1">
      <c r="A1" s="64" t="s">
        <v>189</v>
      </c>
      <c r="B1" s="65" t="s">
        <v>126</v>
      </c>
      <c r="C1" s="64" t="s">
        <v>190</v>
      </c>
      <c r="D1" s="66" t="s">
        <v>191</v>
      </c>
      <c r="E1" s="67" t="s">
        <v>192</v>
      </c>
      <c r="F1" s="67" t="s">
        <v>193</v>
      </c>
      <c r="G1" s="64" t="s">
        <v>194</v>
      </c>
      <c r="H1" s="67" t="s">
        <v>133</v>
      </c>
      <c r="I1" s="67" t="s">
        <v>195</v>
      </c>
    </row>
    <row r="2" ht="19.5" hidden="1" customHeight="1">
      <c r="A2" s="68" t="s">
        <v>196</v>
      </c>
      <c r="B2" s="69"/>
      <c r="C2" s="69" t="s">
        <v>197</v>
      </c>
      <c r="D2" s="70" t="s">
        <v>198</v>
      </c>
      <c r="E2" s="71">
        <v>11.0</v>
      </c>
      <c r="F2" s="72">
        <v>130.0</v>
      </c>
      <c r="G2" s="73">
        <v>417024.0</v>
      </c>
      <c r="H2" s="74">
        <f t="shared" ref="H2:H3" si="1">G2/F2</f>
        <v>3207.876923</v>
      </c>
      <c r="I2" s="74">
        <f t="shared" ref="I2:I3" si="2">G2/E2</f>
        <v>37911.27273</v>
      </c>
    </row>
    <row r="3" hidden="1">
      <c r="A3" s="75" t="s">
        <v>199</v>
      </c>
      <c r="B3" s="76"/>
      <c r="C3" s="76" t="s">
        <v>200</v>
      </c>
      <c r="D3" s="70" t="s">
        <v>201</v>
      </c>
      <c r="E3" s="77">
        <v>11.0</v>
      </c>
      <c r="F3" s="78">
        <v>101.0</v>
      </c>
      <c r="G3" s="79">
        <v>488017.0</v>
      </c>
      <c r="H3" s="43">
        <f t="shared" si="1"/>
        <v>4831.851485</v>
      </c>
      <c r="I3" s="43">
        <f t="shared" si="2"/>
        <v>44365.18182</v>
      </c>
    </row>
    <row r="4" hidden="1">
      <c r="A4" s="80" t="s">
        <v>202</v>
      </c>
      <c r="B4" s="81"/>
      <c r="C4" s="81" t="s">
        <v>203</v>
      </c>
      <c r="D4" s="82" t="s">
        <v>201</v>
      </c>
      <c r="E4" s="83">
        <v>11.0</v>
      </c>
      <c r="F4" s="84" t="s">
        <v>204</v>
      </c>
      <c r="G4" s="85">
        <v>0.0</v>
      </c>
      <c r="H4" s="86">
        <v>0.0</v>
      </c>
      <c r="I4" s="86">
        <v>0.0</v>
      </c>
    </row>
    <row r="5">
      <c r="A5" s="87" t="s">
        <v>205</v>
      </c>
      <c r="B5" s="88" t="s">
        <v>206</v>
      </c>
      <c r="C5" s="88" t="s">
        <v>207</v>
      </c>
      <c r="D5" s="89" t="s">
        <v>208</v>
      </c>
      <c r="E5" s="89">
        <v>6.0</v>
      </c>
      <c r="F5" s="89">
        <v>2.0</v>
      </c>
      <c r="G5" s="90">
        <v>7086.0</v>
      </c>
      <c r="H5" s="91">
        <f t="shared" ref="H5:H9" si="3">G5/F5</f>
        <v>3543</v>
      </c>
      <c r="I5" s="91">
        <f t="shared" ref="I5:I9" si="4">G5/E5</f>
        <v>1181</v>
      </c>
    </row>
    <row r="6">
      <c r="A6" s="87" t="s">
        <v>209</v>
      </c>
      <c r="B6" s="88" t="s">
        <v>210</v>
      </c>
      <c r="C6" s="88" t="s">
        <v>207</v>
      </c>
      <c r="D6" s="89" t="s">
        <v>208</v>
      </c>
      <c r="E6" s="89">
        <v>6.0</v>
      </c>
      <c r="F6" s="89">
        <v>14.0</v>
      </c>
      <c r="G6" s="92">
        <v>68397.0</v>
      </c>
      <c r="H6" s="93">
        <f t="shared" si="3"/>
        <v>4885.5</v>
      </c>
      <c r="I6" s="93">
        <f t="shared" si="4"/>
        <v>11399.5</v>
      </c>
    </row>
    <row r="7">
      <c r="A7" s="87" t="s">
        <v>211</v>
      </c>
      <c r="B7" s="88" t="s">
        <v>212</v>
      </c>
      <c r="C7" s="88" t="s">
        <v>207</v>
      </c>
      <c r="D7" s="89" t="s">
        <v>208</v>
      </c>
      <c r="E7" s="94">
        <v>6.0</v>
      </c>
      <c r="F7" s="95" t="s">
        <v>213</v>
      </c>
      <c r="G7" s="96">
        <v>30037.0</v>
      </c>
      <c r="H7" s="93">
        <f t="shared" si="3"/>
        <v>4291</v>
      </c>
      <c r="I7" s="97">
        <f t="shared" si="4"/>
        <v>5006.166667</v>
      </c>
    </row>
    <row r="8">
      <c r="A8" s="98" t="s">
        <v>214</v>
      </c>
      <c r="B8" s="98" t="s">
        <v>215</v>
      </c>
      <c r="C8" s="98" t="s">
        <v>216</v>
      </c>
      <c r="D8" s="98" t="s">
        <v>161</v>
      </c>
      <c r="E8" s="94">
        <v>27.0</v>
      </c>
      <c r="F8" s="89">
        <v>207.0</v>
      </c>
      <c r="G8" s="99">
        <v>675937.0</v>
      </c>
      <c r="H8" s="98">
        <f t="shared" si="3"/>
        <v>3265.396135</v>
      </c>
      <c r="I8" s="98">
        <f t="shared" si="4"/>
        <v>25034.7037</v>
      </c>
    </row>
    <row r="9">
      <c r="A9" s="98" t="s">
        <v>217</v>
      </c>
      <c r="B9" s="98"/>
      <c r="C9" s="98" t="s">
        <v>218</v>
      </c>
      <c r="D9" s="98" t="s">
        <v>219</v>
      </c>
      <c r="E9" s="94">
        <v>11.0</v>
      </c>
      <c r="F9" s="89">
        <v>515.0</v>
      </c>
      <c r="G9" s="99">
        <v>1955517.0</v>
      </c>
      <c r="H9" s="98">
        <f t="shared" si="3"/>
        <v>3797.120388</v>
      </c>
      <c r="I9" s="98">
        <f t="shared" si="4"/>
        <v>177774.2727</v>
      </c>
    </row>
    <row r="10" hidden="1">
      <c r="A10" s="100" t="s">
        <v>220</v>
      </c>
      <c r="B10" s="101"/>
      <c r="C10" s="102" t="s">
        <v>221</v>
      </c>
      <c r="D10" s="100" t="s">
        <v>222</v>
      </c>
      <c r="E10" s="100">
        <v>5.0</v>
      </c>
      <c r="F10" s="103"/>
      <c r="G10" s="104"/>
      <c r="H10" s="103"/>
      <c r="I10" s="103"/>
    </row>
    <row r="11" hidden="1">
      <c r="A11" s="100" t="s">
        <v>223</v>
      </c>
      <c r="B11" s="101"/>
      <c r="C11" s="105" t="s">
        <v>224</v>
      </c>
      <c r="D11" s="101" t="s">
        <v>225</v>
      </c>
      <c r="E11" s="101">
        <v>3.0</v>
      </c>
      <c r="F11" s="101"/>
      <c r="G11" s="106"/>
      <c r="H11" s="101"/>
      <c r="I11" s="101"/>
    </row>
    <row r="12">
      <c r="A12" s="58"/>
      <c r="B12" s="58"/>
      <c r="C12" s="17"/>
      <c r="D12" s="58"/>
      <c r="E12" s="58"/>
      <c r="F12" s="58"/>
      <c r="G12" s="58"/>
      <c r="H12" s="58"/>
      <c r="I12" s="58"/>
    </row>
    <row r="13">
      <c r="A13" s="58"/>
      <c r="B13" s="58"/>
      <c r="C13" s="17"/>
      <c r="D13" s="58"/>
      <c r="E13" s="58"/>
      <c r="F13" s="58"/>
      <c r="G13" s="58"/>
      <c r="H13" s="58"/>
      <c r="I13" s="58"/>
    </row>
    <row r="14">
      <c r="A14" s="58"/>
      <c r="B14" s="58"/>
      <c r="C14" s="17"/>
      <c r="D14" s="58"/>
      <c r="E14" s="58"/>
      <c r="F14" s="58"/>
      <c r="G14" s="58"/>
      <c r="H14" s="58"/>
      <c r="I14" s="58"/>
    </row>
    <row r="15">
      <c r="A15" s="58"/>
      <c r="B15" s="58"/>
      <c r="C15" s="17"/>
      <c r="D15" s="58"/>
      <c r="E15" s="58"/>
      <c r="F15" s="58"/>
      <c r="G15" s="58"/>
      <c r="H15" s="58"/>
      <c r="I15" s="58"/>
    </row>
    <row r="16">
      <c r="A16" s="58"/>
      <c r="B16" s="58"/>
      <c r="C16" s="17"/>
      <c r="D16" s="58"/>
      <c r="E16" s="58"/>
      <c r="F16" s="58"/>
      <c r="G16" s="58"/>
      <c r="H16" s="58"/>
      <c r="I16" s="58"/>
    </row>
    <row r="17">
      <c r="A17" s="58"/>
      <c r="B17" s="58"/>
      <c r="C17" s="58"/>
      <c r="D17" s="58"/>
      <c r="E17" s="58"/>
      <c r="F17" s="58"/>
      <c r="G17" s="58"/>
      <c r="H17" s="58"/>
      <c r="I17" s="58"/>
    </row>
    <row r="18">
      <c r="A18" s="58"/>
      <c r="B18" s="58"/>
      <c r="C18" s="58"/>
      <c r="D18" s="58"/>
      <c r="E18" s="58"/>
      <c r="F18" s="58"/>
      <c r="G18" s="58"/>
      <c r="H18" s="58"/>
      <c r="I18" s="58"/>
    </row>
    <row r="19">
      <c r="A19" s="58"/>
      <c r="B19" s="58"/>
      <c r="C19" s="58"/>
      <c r="D19" s="58"/>
      <c r="E19" s="58"/>
      <c r="F19" s="58"/>
      <c r="G19" s="58"/>
      <c r="H19" s="58"/>
      <c r="I19" s="58"/>
    </row>
    <row r="20">
      <c r="A20" s="58"/>
      <c r="B20" s="58"/>
      <c r="C20" s="58"/>
      <c r="D20" s="58"/>
      <c r="E20" s="58"/>
      <c r="F20" s="58"/>
      <c r="G20" s="58"/>
      <c r="H20" s="58"/>
      <c r="I20" s="58"/>
    </row>
  </sheetData>
  <autoFilter ref="$A$1:$I$11">
    <filterColumn colId="3">
      <filters>
        <filter val="1 - 11 февраля"/>
        <filter val="9 - 14 февраля"/>
        <filter val="2 - 28 февраля"/>
      </filters>
    </filterColumn>
  </autoFilter>
  <drawing r:id="rId1"/>
</worksheet>
</file>